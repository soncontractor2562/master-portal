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Antigravity\Master Portal\public\"/>
    </mc:Choice>
  </mc:AlternateContent>
  <xr:revisionPtr revIDLastSave="0" documentId="13_ncr:1_{0FDE00CC-C73C-47FF-B6B1-86276BDF7175}" xr6:coauthVersionLast="47" xr6:coauthVersionMax="47" xr10:uidLastSave="{00000000-0000-0000-0000-000000000000}"/>
  <bookViews>
    <workbookView xWindow="-108" yWindow="-108" windowWidth="23256" windowHeight="12456" xr2:uid="{83CAA9CA-C831-4384-848E-AAAD598D9538}"/>
  </bookViews>
  <sheets>
    <sheet name="สรุป" sheetId="1" r:id="rId1"/>
    <sheet name="บันทึกของเข้า-ออก" sheetId="2" r:id="rId2"/>
  </sheets>
  <definedNames>
    <definedName name="_xlnm._FilterDatabase" localSheetId="1">'บันทึกของเข้า-ออก'!$B$3:$N$3</definedName>
    <definedName name="_xlnm._FilterDatabase" localSheetId="0" hidden="1">สรุป!$B$5:$AL$286</definedName>
    <definedName name="_xlnm.Print_Area" localSheetId="1">'บันทึกของเข้า-ออก'!$A$1:$N$3</definedName>
    <definedName name="_xlnm.Print_Area" localSheetId="0">สรุป!$B$3:$R$262</definedName>
    <definedName name="_xlnm.Print_Titles" localSheetId="0">สรุป!$3:$5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4" i="1"/>
  <c r="V35" i="1"/>
  <c r="V36" i="1"/>
  <c r="V37" i="1"/>
  <c r="V38" i="1"/>
  <c r="V39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8" i="1"/>
  <c r="V69" i="1"/>
  <c r="V70" i="1"/>
  <c r="V71" i="1"/>
  <c r="V72" i="1"/>
  <c r="V73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20" i="1"/>
  <c r="V122" i="1"/>
  <c r="V124" i="1"/>
  <c r="V125" i="1"/>
  <c r="V126" i="1"/>
  <c r="V127" i="1"/>
  <c r="V128" i="1"/>
  <c r="V129" i="1"/>
  <c r="V130" i="1"/>
  <c r="V131" i="1"/>
  <c r="V132" i="1"/>
  <c r="V133" i="1"/>
  <c r="V134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2" i="1"/>
  <c r="V153" i="1"/>
  <c r="V154" i="1"/>
  <c r="V155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4" i="1"/>
  <c r="V265" i="1"/>
  <c r="V267" i="1"/>
  <c r="V268" i="1"/>
  <c r="V269" i="1"/>
  <c r="V270" i="1"/>
  <c r="V271" i="1"/>
  <c r="V272" i="1"/>
  <c r="W272" i="1"/>
  <c r="X272" i="1"/>
  <c r="V273" i="1"/>
  <c r="W273" i="1"/>
  <c r="X273" i="1"/>
  <c r="V274" i="1"/>
  <c r="W274" i="1"/>
  <c r="X274" i="1"/>
  <c r="V275" i="1"/>
  <c r="W275" i="1"/>
  <c r="X275" i="1"/>
  <c r="V276" i="1"/>
  <c r="W276" i="1"/>
  <c r="X276" i="1"/>
  <c r="V277" i="1"/>
  <c r="W277" i="1"/>
  <c r="X277" i="1"/>
  <c r="V278" i="1"/>
  <c r="W278" i="1"/>
  <c r="X278" i="1"/>
  <c r="V279" i="1"/>
  <c r="W279" i="1"/>
  <c r="X279" i="1"/>
  <c r="V281" i="1"/>
  <c r="W281" i="1"/>
  <c r="X281" i="1"/>
  <c r="V282" i="1"/>
  <c r="W282" i="1"/>
  <c r="X282" i="1"/>
  <c r="V283" i="1"/>
  <c r="W283" i="1"/>
  <c r="X283" i="1"/>
  <c r="V284" i="1"/>
  <c r="W284" i="1"/>
  <c r="X284" i="1"/>
  <c r="V285" i="1"/>
  <c r="W285" i="1"/>
  <c r="X285" i="1"/>
  <c r="W286" i="1"/>
  <c r="X286" i="1"/>
  <c r="G271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O169" i="2"/>
  <c r="C3" i="1"/>
  <c r="D286" i="1" l="1"/>
  <c r="C163" i="2"/>
  <c r="C198" i="2"/>
  <c r="C195" i="2"/>
  <c r="C192" i="2"/>
  <c r="C190" i="2"/>
  <c r="C188" i="2"/>
  <c r="C186" i="2"/>
  <c r="C184" i="2"/>
  <c r="C196" i="2"/>
  <c r="C197" i="2"/>
  <c r="C194" i="2"/>
  <c r="C193" i="2"/>
  <c r="C191" i="2"/>
  <c r="C189" i="2"/>
  <c r="C187" i="2"/>
  <c r="C185" i="2"/>
  <c r="C183" i="2"/>
  <c r="C179" i="2"/>
  <c r="C177" i="2"/>
  <c r="C174" i="2"/>
  <c r="C171" i="2"/>
  <c r="C169" i="2"/>
  <c r="C165" i="2"/>
  <c r="C182" i="2"/>
  <c r="C178" i="2"/>
  <c r="C175" i="2"/>
  <c r="C172" i="2"/>
  <c r="C167" i="2"/>
  <c r="C181" i="2"/>
  <c r="C180" i="2"/>
  <c r="C176" i="2"/>
  <c r="C173" i="2"/>
  <c r="C170" i="2"/>
  <c r="C168" i="2"/>
  <c r="C166" i="2"/>
  <c r="C164" i="2"/>
  <c r="C138" i="2"/>
  <c r="C152" i="2"/>
  <c r="C145" i="2"/>
  <c r="C153" i="2"/>
  <c r="C147" i="2"/>
  <c r="C146" i="2"/>
  <c r="C144" i="2"/>
  <c r="C162" i="2"/>
  <c r="C161" i="2"/>
  <c r="C160" i="2"/>
  <c r="C159" i="2"/>
  <c r="C158" i="2"/>
  <c r="C157" i="2"/>
  <c r="C156" i="2"/>
  <c r="C155" i="2"/>
  <c r="C154" i="2"/>
  <c r="C151" i="2"/>
  <c r="C150" i="2"/>
  <c r="C149" i="2"/>
  <c r="C148" i="2"/>
  <c r="C143" i="2"/>
  <c r="R127" i="1"/>
  <c r="Q127" i="1"/>
  <c r="P127" i="1"/>
  <c r="N127" i="1"/>
  <c r="M127" i="1"/>
  <c r="L127" i="1"/>
  <c r="K127" i="1"/>
  <c r="J127" i="1"/>
  <c r="I127" i="1"/>
  <c r="H127" i="1"/>
  <c r="G127" i="1"/>
  <c r="F127" i="1"/>
  <c r="R126" i="1"/>
  <c r="Q126" i="1"/>
  <c r="P126" i="1"/>
  <c r="O126" i="1"/>
  <c r="N126" i="1"/>
  <c r="M126" i="1"/>
  <c r="L126" i="1"/>
  <c r="K126" i="1"/>
  <c r="I126" i="1"/>
  <c r="G126" i="1"/>
  <c r="J126" i="1"/>
  <c r="H126" i="1"/>
  <c r="F126" i="1"/>
  <c r="C47" i="2"/>
  <c r="C79" i="2"/>
  <c r="C19" i="2"/>
  <c r="C48" i="2"/>
  <c r="C77" i="2"/>
  <c r="C107" i="2"/>
  <c r="C49" i="2"/>
  <c r="C78" i="2"/>
  <c r="C108" i="2"/>
  <c r="C27" i="2"/>
  <c r="C51" i="2"/>
  <c r="C59" i="2"/>
  <c r="C83" i="2"/>
  <c r="C91" i="2"/>
  <c r="C62" i="2"/>
  <c r="C63" i="2"/>
  <c r="C34" i="2"/>
  <c r="C94" i="2"/>
  <c r="C35" i="2"/>
  <c r="C65" i="2"/>
  <c r="C95" i="2"/>
  <c r="C126" i="2"/>
  <c r="C43" i="2"/>
  <c r="C66" i="2"/>
  <c r="C96" i="2"/>
  <c r="C127" i="2"/>
  <c r="C80" i="2"/>
  <c r="C28" i="2"/>
  <c r="C111" i="2"/>
  <c r="C82" i="2"/>
  <c r="C60" i="2"/>
  <c r="C113" i="2"/>
  <c r="C114" i="2"/>
  <c r="C123" i="2"/>
  <c r="C128" i="2"/>
  <c r="C50" i="2"/>
  <c r="C81" i="2"/>
  <c r="C112" i="2"/>
  <c r="C61" i="2"/>
  <c r="C92" i="2"/>
  <c r="C93" i="2"/>
  <c r="C125" i="2"/>
  <c r="C67" i="2"/>
  <c r="C45" i="2"/>
  <c r="C75" i="2"/>
  <c r="C98" i="2"/>
  <c r="C129" i="2"/>
  <c r="C109" i="2"/>
  <c r="C110" i="2"/>
  <c r="C29" i="2"/>
  <c r="C30" i="2"/>
  <c r="C31" i="2"/>
  <c r="C32" i="2"/>
  <c r="C33" i="2"/>
  <c r="C124" i="2"/>
  <c r="C64" i="2"/>
  <c r="C44" i="2"/>
  <c r="C97" i="2"/>
  <c r="C46" i="2"/>
  <c r="C76" i="2"/>
  <c r="C99" i="2"/>
  <c r="C130" i="2"/>
  <c r="C131" i="2"/>
  <c r="C36" i="2"/>
  <c r="C100" i="2"/>
  <c r="C37" i="2"/>
  <c r="C101" i="2"/>
  <c r="C22" i="2"/>
  <c r="C54" i="2"/>
  <c r="C118" i="2"/>
  <c r="C23" i="2"/>
  <c r="C55" i="2"/>
  <c r="C87" i="2"/>
  <c r="C119" i="2"/>
  <c r="C24" i="2"/>
  <c r="C40" i="2"/>
  <c r="C56" i="2"/>
  <c r="C72" i="2"/>
  <c r="C88" i="2"/>
  <c r="C104" i="2"/>
  <c r="C120" i="2"/>
  <c r="C136" i="2"/>
  <c r="C115" i="2"/>
  <c r="C20" i="2"/>
  <c r="C68" i="2"/>
  <c r="C116" i="2"/>
  <c r="C21" i="2"/>
  <c r="C69" i="2"/>
  <c r="C117" i="2"/>
  <c r="C38" i="2"/>
  <c r="C70" i="2"/>
  <c r="C102" i="2"/>
  <c r="C134" i="2"/>
  <c r="C39" i="2"/>
  <c r="C71" i="2"/>
  <c r="C103" i="2"/>
  <c r="C135" i="2"/>
  <c r="C25" i="2"/>
  <c r="C41" i="2"/>
  <c r="C57" i="2"/>
  <c r="C73" i="2"/>
  <c r="C89" i="2"/>
  <c r="C105" i="2"/>
  <c r="C121" i="2"/>
  <c r="C137" i="2"/>
  <c r="C52" i="2"/>
  <c r="C84" i="2"/>
  <c r="C132" i="2"/>
  <c r="C53" i="2"/>
  <c r="C85" i="2"/>
  <c r="C133" i="2"/>
  <c r="C86" i="2"/>
  <c r="C26" i="2"/>
  <c r="C42" i="2"/>
  <c r="C58" i="2"/>
  <c r="C74" i="2"/>
  <c r="C90" i="2"/>
  <c r="C106" i="2"/>
  <c r="C122" i="2"/>
  <c r="F6" i="1"/>
  <c r="C14" i="2"/>
  <c r="C10" i="2"/>
  <c r="C142" i="2"/>
  <c r="C6" i="2"/>
  <c r="C18" i="2"/>
  <c r="C141" i="2"/>
  <c r="C13" i="2"/>
  <c r="C5" i="2"/>
  <c r="C16" i="2"/>
  <c r="C12" i="2"/>
  <c r="C8" i="2"/>
  <c r="C4" i="2"/>
  <c r="C17" i="2"/>
  <c r="C9" i="2"/>
  <c r="C139" i="2"/>
  <c r="C15" i="2"/>
  <c r="C11" i="2"/>
  <c r="C7" i="2"/>
  <c r="D127" i="1" l="1"/>
  <c r="D126" i="1"/>
  <c r="O285" i="1"/>
  <c r="L284" i="1"/>
  <c r="I283" i="1"/>
  <c r="F282" i="1"/>
  <c r="P280" i="1"/>
  <c r="M279" i="1"/>
  <c r="J278" i="1"/>
  <c r="G277" i="1"/>
  <c r="Q275" i="1"/>
  <c r="N274" i="1"/>
  <c r="K273" i="1"/>
  <c r="H272" i="1"/>
  <c r="R270" i="1"/>
  <c r="O269" i="1"/>
  <c r="L268" i="1"/>
  <c r="I267" i="1"/>
  <c r="F266" i="1"/>
  <c r="P264" i="1"/>
  <c r="M263" i="1"/>
  <c r="G261" i="1"/>
  <c r="Q259" i="1"/>
  <c r="N258" i="1"/>
  <c r="K257" i="1"/>
  <c r="R254" i="1"/>
  <c r="O253" i="1"/>
  <c r="L252" i="1"/>
  <c r="I251" i="1"/>
  <c r="F250" i="1"/>
  <c r="P248" i="1"/>
  <c r="M247" i="1"/>
  <c r="J246" i="1"/>
  <c r="G245" i="1"/>
  <c r="Q243" i="1"/>
  <c r="N242" i="1"/>
  <c r="K241" i="1"/>
  <c r="H240" i="1"/>
  <c r="R238" i="1"/>
  <c r="O237" i="1"/>
  <c r="L236" i="1"/>
  <c r="I235" i="1"/>
  <c r="F234" i="1"/>
  <c r="P232" i="1"/>
  <c r="J230" i="1"/>
  <c r="G229" i="1"/>
  <c r="Q227" i="1"/>
  <c r="N226" i="1"/>
  <c r="K225" i="1"/>
  <c r="H224" i="1"/>
  <c r="R222" i="1"/>
  <c r="O221" i="1"/>
  <c r="L220" i="1"/>
  <c r="I219" i="1"/>
  <c r="F218" i="1"/>
  <c r="P216" i="1"/>
  <c r="M215" i="1"/>
  <c r="J214" i="1"/>
  <c r="G213" i="1"/>
  <c r="Q211" i="1"/>
  <c r="N210" i="1"/>
  <c r="K209" i="1"/>
  <c r="H208" i="1"/>
  <c r="R206" i="1"/>
  <c r="O205" i="1"/>
  <c r="L204" i="1"/>
  <c r="I203" i="1"/>
  <c r="F202" i="1"/>
  <c r="P200" i="1"/>
  <c r="M199" i="1"/>
  <c r="J198" i="1"/>
  <c r="G197" i="1"/>
  <c r="Q195" i="1"/>
  <c r="N194" i="1"/>
  <c r="K193" i="1"/>
  <c r="H192" i="1"/>
  <c r="R190" i="1"/>
  <c r="O189" i="1"/>
  <c r="L188" i="1"/>
  <c r="I187" i="1"/>
  <c r="F186" i="1"/>
  <c r="P184" i="1"/>
  <c r="M183" i="1"/>
  <c r="N285" i="1"/>
  <c r="K284" i="1"/>
  <c r="H283" i="1"/>
  <c r="R281" i="1"/>
  <c r="O280" i="1"/>
  <c r="L279" i="1"/>
  <c r="I278" i="1"/>
  <c r="F277" i="1"/>
  <c r="P275" i="1"/>
  <c r="M274" i="1"/>
  <c r="J273" i="1"/>
  <c r="G272" i="1"/>
  <c r="Q270" i="1"/>
  <c r="N269" i="1"/>
  <c r="K268" i="1"/>
  <c r="R265" i="1"/>
  <c r="O264" i="1"/>
  <c r="L263" i="1"/>
  <c r="I262" i="1"/>
  <c r="F261" i="1"/>
  <c r="P259" i="1"/>
  <c r="M258" i="1"/>
  <c r="J257" i="1"/>
  <c r="Q254" i="1"/>
  <c r="N253" i="1"/>
  <c r="K252" i="1"/>
  <c r="H251" i="1"/>
  <c r="R249" i="1"/>
  <c r="O248" i="1"/>
  <c r="L247" i="1"/>
  <c r="I246" i="1"/>
  <c r="F245" i="1"/>
  <c r="P243" i="1"/>
  <c r="J241" i="1"/>
  <c r="G240" i="1"/>
  <c r="Q238" i="1"/>
  <c r="N237" i="1"/>
  <c r="K236" i="1"/>
  <c r="H235" i="1"/>
  <c r="R233" i="1"/>
  <c r="O232" i="1"/>
  <c r="I230" i="1"/>
  <c r="F229" i="1"/>
  <c r="P227" i="1"/>
  <c r="M226" i="1"/>
  <c r="J225" i="1"/>
  <c r="G224" i="1"/>
  <c r="Q222" i="1"/>
  <c r="N221" i="1"/>
  <c r="K220" i="1"/>
  <c r="H219" i="1"/>
  <c r="R217" i="1"/>
  <c r="O216" i="1"/>
  <c r="L215" i="1"/>
  <c r="I214" i="1"/>
  <c r="F213" i="1"/>
  <c r="P211" i="1"/>
  <c r="M210" i="1"/>
  <c r="J209" i="1"/>
  <c r="G208" i="1"/>
  <c r="Q206" i="1"/>
  <c r="N205" i="1"/>
  <c r="K204" i="1"/>
  <c r="H203" i="1"/>
  <c r="R201" i="1"/>
  <c r="O200" i="1"/>
  <c r="L199" i="1"/>
  <c r="I198" i="1"/>
  <c r="F197" i="1"/>
  <c r="P195" i="1"/>
  <c r="M194" i="1"/>
  <c r="J193" i="1"/>
  <c r="G192" i="1"/>
  <c r="Q190" i="1"/>
  <c r="N189" i="1"/>
  <c r="K188" i="1"/>
  <c r="H187" i="1"/>
  <c r="R185" i="1"/>
  <c r="O184" i="1"/>
  <c r="L183" i="1"/>
  <c r="M285" i="1"/>
  <c r="J284" i="1"/>
  <c r="G283" i="1"/>
  <c r="Q281" i="1"/>
  <c r="N280" i="1"/>
  <c r="K279" i="1"/>
  <c r="R276" i="1"/>
  <c r="O275" i="1"/>
  <c r="L274" i="1"/>
  <c r="I273" i="1"/>
  <c r="F272" i="1"/>
  <c r="P270" i="1"/>
  <c r="M269" i="1"/>
  <c r="J268" i="1"/>
  <c r="Q265" i="1"/>
  <c r="N264" i="1"/>
  <c r="K263" i="1"/>
  <c r="H262" i="1"/>
  <c r="R260" i="1"/>
  <c r="O259" i="1"/>
  <c r="L258" i="1"/>
  <c r="I257" i="1"/>
  <c r="F256" i="1"/>
  <c r="P254" i="1"/>
  <c r="M253" i="1"/>
  <c r="Q249" i="1"/>
  <c r="N248" i="1"/>
  <c r="K247" i="1"/>
  <c r="H246" i="1"/>
  <c r="R244" i="1"/>
  <c r="L242" i="1"/>
  <c r="I241" i="1"/>
  <c r="F240" i="1"/>
  <c r="P238" i="1"/>
  <c r="M237" i="1"/>
  <c r="J236" i="1"/>
  <c r="G235" i="1"/>
  <c r="Q233" i="1"/>
  <c r="N232" i="1"/>
  <c r="H230" i="1"/>
  <c r="R228" i="1"/>
  <c r="O227" i="1"/>
  <c r="L226" i="1"/>
  <c r="I225" i="1"/>
  <c r="F224" i="1"/>
  <c r="P222" i="1"/>
  <c r="M221" i="1"/>
  <c r="J220" i="1"/>
  <c r="G219" i="1"/>
  <c r="Q217" i="1"/>
  <c r="I285" i="1"/>
  <c r="P283" i="1"/>
  <c r="J282" i="1"/>
  <c r="Q280" i="1"/>
  <c r="H279" i="1"/>
  <c r="O277" i="1"/>
  <c r="I276" i="1"/>
  <c r="P274" i="1"/>
  <c r="N271" i="1"/>
  <c r="O268" i="1"/>
  <c r="F267" i="1"/>
  <c r="M265" i="1"/>
  <c r="N262" i="1"/>
  <c r="H261" i="1"/>
  <c r="L259" i="1"/>
  <c r="F258" i="1"/>
  <c r="M256" i="1"/>
  <c r="K253" i="1"/>
  <c r="R251" i="1"/>
  <c r="L250" i="1"/>
  <c r="F249" i="1"/>
  <c r="Q245" i="1"/>
  <c r="K244" i="1"/>
  <c r="R242" i="1"/>
  <c r="P239" i="1"/>
  <c r="J238" i="1"/>
  <c r="Q236" i="1"/>
  <c r="K235" i="1"/>
  <c r="O233" i="1"/>
  <c r="I232" i="1"/>
  <c r="P230" i="1"/>
  <c r="J229" i="1"/>
  <c r="N227" i="1"/>
  <c r="H226" i="1"/>
  <c r="O224" i="1"/>
  <c r="I223" i="1"/>
  <c r="P221" i="1"/>
  <c r="G220" i="1"/>
  <c r="N218" i="1"/>
  <c r="H217" i="1"/>
  <c r="P215" i="1"/>
  <c r="K214" i="1"/>
  <c r="Q212" i="1"/>
  <c r="L211" i="1"/>
  <c r="G210" i="1"/>
  <c r="O208" i="1"/>
  <c r="J207" i="1"/>
  <c r="R205" i="1"/>
  <c r="M204" i="1"/>
  <c r="F203" i="1"/>
  <c r="N201" i="1"/>
  <c r="I200" i="1"/>
  <c r="Q198" i="1"/>
  <c r="L197" i="1"/>
  <c r="G196" i="1"/>
  <c r="O194" i="1"/>
  <c r="H193" i="1"/>
  <c r="P191" i="1"/>
  <c r="K190" i="1"/>
  <c r="F189" i="1"/>
  <c r="N187" i="1"/>
  <c r="Q184" i="1"/>
  <c r="J183" i="1"/>
  <c r="G182" i="1"/>
  <c r="Q180" i="1"/>
  <c r="N179" i="1"/>
  <c r="K178" i="1"/>
  <c r="H177" i="1"/>
  <c r="R175" i="1"/>
  <c r="O174" i="1"/>
  <c r="L173" i="1"/>
  <c r="I172" i="1"/>
  <c r="F171" i="1"/>
  <c r="P169" i="1"/>
  <c r="M168" i="1"/>
  <c r="J167" i="1"/>
  <c r="G166" i="1"/>
  <c r="Q164" i="1"/>
  <c r="N163" i="1"/>
  <c r="K162" i="1"/>
  <c r="H161" i="1"/>
  <c r="R159" i="1"/>
  <c r="O158" i="1"/>
  <c r="L157" i="1"/>
  <c r="I156" i="1"/>
  <c r="F155" i="1"/>
  <c r="P153" i="1"/>
  <c r="M152" i="1"/>
  <c r="J151" i="1"/>
  <c r="G150" i="1"/>
  <c r="Q148" i="1"/>
  <c r="N147" i="1"/>
  <c r="K146" i="1"/>
  <c r="R143" i="1"/>
  <c r="O142" i="1"/>
  <c r="L141" i="1"/>
  <c r="I140" i="1"/>
  <c r="F139" i="1"/>
  <c r="P137" i="1"/>
  <c r="G134" i="1"/>
  <c r="Q132" i="1"/>
  <c r="N131" i="1"/>
  <c r="K130" i="1"/>
  <c r="H129" i="1"/>
  <c r="R125" i="1"/>
  <c r="O124" i="1"/>
  <c r="L123" i="1"/>
  <c r="I122" i="1"/>
  <c r="F121" i="1"/>
  <c r="P119" i="1"/>
  <c r="M118" i="1"/>
  <c r="J117" i="1"/>
  <c r="G116" i="1"/>
  <c r="Q114" i="1"/>
  <c r="N113" i="1"/>
  <c r="K112" i="1"/>
  <c r="H111" i="1"/>
  <c r="R109" i="1"/>
  <c r="O108" i="1"/>
  <c r="L107" i="1"/>
  <c r="I106" i="1"/>
  <c r="F105" i="1"/>
  <c r="P103" i="1"/>
  <c r="M102" i="1"/>
  <c r="J101" i="1"/>
  <c r="G100" i="1"/>
  <c r="Q98" i="1"/>
  <c r="N97" i="1"/>
  <c r="K96" i="1"/>
  <c r="H95" i="1"/>
  <c r="R93" i="1"/>
  <c r="O92" i="1"/>
  <c r="L91" i="1"/>
  <c r="I90" i="1"/>
  <c r="F89" i="1"/>
  <c r="P86" i="1"/>
  <c r="M85" i="1"/>
  <c r="J84" i="1"/>
  <c r="G83" i="1"/>
  <c r="Q81" i="1"/>
  <c r="N80" i="1"/>
  <c r="K79" i="1"/>
  <c r="H78" i="1"/>
  <c r="R76" i="1"/>
  <c r="O75" i="1"/>
  <c r="L74" i="1"/>
  <c r="I73" i="1"/>
  <c r="F72" i="1"/>
  <c r="P70" i="1"/>
  <c r="M69" i="1"/>
  <c r="J68" i="1"/>
  <c r="G67" i="1"/>
  <c r="Q65" i="1"/>
  <c r="N64" i="1"/>
  <c r="K63" i="1"/>
  <c r="H62" i="1"/>
  <c r="R60" i="1"/>
  <c r="O59" i="1"/>
  <c r="L58" i="1"/>
  <c r="H285" i="1"/>
  <c r="O283" i="1"/>
  <c r="I282" i="1"/>
  <c r="M280" i="1"/>
  <c r="G279" i="1"/>
  <c r="N277" i="1"/>
  <c r="H276" i="1"/>
  <c r="O274" i="1"/>
  <c r="F273" i="1"/>
  <c r="M271" i="1"/>
  <c r="G270" i="1"/>
  <c r="N268" i="1"/>
  <c r="R266" i="1"/>
  <c r="L265" i="1"/>
  <c r="F264" i="1"/>
  <c r="M262" i="1"/>
  <c r="Q260" i="1"/>
  <c r="K259" i="1"/>
  <c r="L256" i="1"/>
  <c r="F255" i="1"/>
  <c r="J253" i="1"/>
  <c r="Q251" i="1"/>
  <c r="K250" i="1"/>
  <c r="R248" i="1"/>
  <c r="I247" i="1"/>
  <c r="P245" i="1"/>
  <c r="J244" i="1"/>
  <c r="Q242" i="1"/>
  <c r="H241" i="1"/>
  <c r="O239" i="1"/>
  <c r="I238" i="1"/>
  <c r="P236" i="1"/>
  <c r="J235" i="1"/>
  <c r="N233" i="1"/>
  <c r="H232" i="1"/>
  <c r="O230" i="1"/>
  <c r="I229" i="1"/>
  <c r="M227" i="1"/>
  <c r="G226" i="1"/>
  <c r="N224" i="1"/>
  <c r="H223" i="1"/>
  <c r="L221" i="1"/>
  <c r="F220" i="1"/>
  <c r="M218" i="1"/>
  <c r="G217" i="1"/>
  <c r="O215" i="1"/>
  <c r="H214" i="1"/>
  <c r="P212" i="1"/>
  <c r="K211" i="1"/>
  <c r="F210" i="1"/>
  <c r="N208" i="1"/>
  <c r="I207" i="1"/>
  <c r="Q205" i="1"/>
  <c r="J204" i="1"/>
  <c r="R202" i="1"/>
  <c r="M201" i="1"/>
  <c r="H200" i="1"/>
  <c r="P198" i="1"/>
  <c r="K197" i="1"/>
  <c r="F196" i="1"/>
  <c r="L194" i="1"/>
  <c r="G193" i="1"/>
  <c r="O191" i="1"/>
  <c r="J190" i="1"/>
  <c r="R188" i="1"/>
  <c r="M187" i="1"/>
  <c r="F285" i="1"/>
  <c r="K283" i="1"/>
  <c r="M281" i="1"/>
  <c r="R279" i="1"/>
  <c r="G278" i="1"/>
  <c r="L276" i="1"/>
  <c r="Q274" i="1"/>
  <c r="Q272" i="1"/>
  <c r="I271" i="1"/>
  <c r="K269" i="1"/>
  <c r="P267" i="1"/>
  <c r="J264" i="1"/>
  <c r="O262" i="1"/>
  <c r="G259" i="1"/>
  <c r="N255" i="1"/>
  <c r="F254" i="1"/>
  <c r="H252" i="1"/>
  <c r="M250" i="1"/>
  <c r="M248" i="1"/>
  <c r="R246" i="1"/>
  <c r="J245" i="1"/>
  <c r="L243" i="1"/>
  <c r="Q241" i="1"/>
  <c r="I240" i="1"/>
  <c r="K238" i="1"/>
  <c r="N236" i="1"/>
  <c r="P234" i="1"/>
  <c r="H233" i="1"/>
  <c r="O229" i="1"/>
  <c r="G228" i="1"/>
  <c r="I226" i="1"/>
  <c r="L224" i="1"/>
  <c r="N222" i="1"/>
  <c r="F221" i="1"/>
  <c r="K219" i="1"/>
  <c r="M217" i="1"/>
  <c r="F216" i="1"/>
  <c r="L214" i="1"/>
  <c r="N212" i="1"/>
  <c r="G211" i="1"/>
  <c r="M209" i="1"/>
  <c r="Q207" i="1"/>
  <c r="J206" i="1"/>
  <c r="P204" i="1"/>
  <c r="G203" i="1"/>
  <c r="K201" i="1"/>
  <c r="Q199" i="1"/>
  <c r="H198" i="1"/>
  <c r="N196" i="1"/>
  <c r="G195" i="1"/>
  <c r="M193" i="1"/>
  <c r="Q191" i="1"/>
  <c r="H190" i="1"/>
  <c r="N188" i="1"/>
  <c r="R186" i="1"/>
  <c r="L185" i="1"/>
  <c r="F184" i="1"/>
  <c r="M182" i="1"/>
  <c r="I181" i="1"/>
  <c r="R179" i="1"/>
  <c r="N178" i="1"/>
  <c r="J177" i="1"/>
  <c r="F176" i="1"/>
  <c r="N174" i="1"/>
  <c r="J173" i="1"/>
  <c r="F172" i="1"/>
  <c r="O170" i="1"/>
  <c r="K169" i="1"/>
  <c r="G168" i="1"/>
  <c r="P166" i="1"/>
  <c r="L165" i="1"/>
  <c r="H164" i="1"/>
  <c r="Q162" i="1"/>
  <c r="M161" i="1"/>
  <c r="I160" i="1"/>
  <c r="R158" i="1"/>
  <c r="N157" i="1"/>
  <c r="J156" i="1"/>
  <c r="R154" i="1"/>
  <c r="N153" i="1"/>
  <c r="Q284" i="1"/>
  <c r="R282" i="1"/>
  <c r="I281" i="1"/>
  <c r="J279" i="1"/>
  <c r="L277" i="1"/>
  <c r="P284" i="1"/>
  <c r="Q282" i="1"/>
  <c r="H281" i="1"/>
  <c r="I279" i="1"/>
  <c r="K277" i="1"/>
  <c r="L275" i="1"/>
  <c r="P273" i="1"/>
  <c r="Q271" i="1"/>
  <c r="F270" i="1"/>
  <c r="G268" i="1"/>
  <c r="K266" i="1"/>
  <c r="L264" i="1"/>
  <c r="P262" i="1"/>
  <c r="N260" i="1"/>
  <c r="R258" i="1"/>
  <c r="J255" i="1"/>
  <c r="I253" i="1"/>
  <c r="N249" i="1"/>
  <c r="R247" i="1"/>
  <c r="F246" i="1"/>
  <c r="I242" i="1"/>
  <c r="M240" i="1"/>
  <c r="N238" i="1"/>
  <c r="R236" i="1"/>
  <c r="Q234" i="1"/>
  <c r="G233" i="1"/>
  <c r="L229" i="1"/>
  <c r="K227" i="1"/>
  <c r="O225" i="1"/>
  <c r="P223" i="1"/>
  <c r="G222" i="1"/>
  <c r="H220" i="1"/>
  <c r="J218" i="1"/>
  <c r="L216" i="1"/>
  <c r="Q214" i="1"/>
  <c r="I213" i="1"/>
  <c r="J211" i="1"/>
  <c r="O209" i="1"/>
  <c r="R207" i="1"/>
  <c r="I206" i="1"/>
  <c r="N204" i="1"/>
  <c r="O202" i="1"/>
  <c r="G201" i="1"/>
  <c r="J199" i="1"/>
  <c r="O197" i="1"/>
  <c r="R195" i="1"/>
  <c r="H194" i="1"/>
  <c r="M192" i="1"/>
  <c r="P190" i="1"/>
  <c r="H189" i="1"/>
  <c r="K187" i="1"/>
  <c r="H184" i="1"/>
  <c r="N182" i="1"/>
  <c r="H181" i="1"/>
  <c r="P179" i="1"/>
  <c r="J178" i="1"/>
  <c r="R176" i="1"/>
  <c r="M175" i="1"/>
  <c r="H174" i="1"/>
  <c r="P172" i="1"/>
  <c r="K171" i="1"/>
  <c r="F170" i="1"/>
  <c r="N168" i="1"/>
  <c r="P165" i="1"/>
  <c r="K164" i="1"/>
  <c r="F163" i="1"/>
  <c r="N161" i="1"/>
  <c r="H160" i="1"/>
  <c r="P158" i="1"/>
  <c r="J157" i="1"/>
  <c r="R155" i="1"/>
  <c r="M154" i="1"/>
  <c r="H153" i="1"/>
  <c r="P151" i="1"/>
  <c r="L150" i="1"/>
  <c r="H149" i="1"/>
  <c r="Q147" i="1"/>
  <c r="M146" i="1"/>
  <c r="I145" i="1"/>
  <c r="Q143" i="1"/>
  <c r="M142" i="1"/>
  <c r="I141" i="1"/>
  <c r="R139" i="1"/>
  <c r="N138" i="1"/>
  <c r="F136" i="1"/>
  <c r="O134" i="1"/>
  <c r="K133" i="1"/>
  <c r="G132" i="1"/>
  <c r="P130" i="1"/>
  <c r="L129" i="1"/>
  <c r="H128" i="1"/>
  <c r="Q124" i="1"/>
  <c r="M123" i="1"/>
  <c r="H122" i="1"/>
  <c r="Q120" i="1"/>
  <c r="M119" i="1"/>
  <c r="I118" i="1"/>
  <c r="R116" i="1"/>
  <c r="N115" i="1"/>
  <c r="J114" i="1"/>
  <c r="F113" i="1"/>
  <c r="O111" i="1"/>
  <c r="K110" i="1"/>
  <c r="G109" i="1"/>
  <c r="P107" i="1"/>
  <c r="L106" i="1"/>
  <c r="H105" i="1"/>
  <c r="Q103" i="1"/>
  <c r="L102" i="1"/>
  <c r="H101" i="1"/>
  <c r="Q99" i="1"/>
  <c r="M98" i="1"/>
  <c r="I97" i="1"/>
  <c r="R95" i="1"/>
  <c r="N94" i="1"/>
  <c r="J93" i="1"/>
  <c r="F92" i="1"/>
  <c r="O90" i="1"/>
  <c r="K89" i="1"/>
  <c r="G87" i="1"/>
  <c r="P85" i="1"/>
  <c r="L84" i="1"/>
  <c r="H83" i="1"/>
  <c r="P81" i="1"/>
  <c r="L80" i="1"/>
  <c r="H79" i="1"/>
  <c r="Q77" i="1"/>
  <c r="M76" i="1"/>
  <c r="I75" i="1"/>
  <c r="R73" i="1"/>
  <c r="N72" i="1"/>
  <c r="J71" i="1"/>
  <c r="F70" i="1"/>
  <c r="O68" i="1"/>
  <c r="K67" i="1"/>
  <c r="G66" i="1"/>
  <c r="P64" i="1"/>
  <c r="L63" i="1"/>
  <c r="G62" i="1"/>
  <c r="P60" i="1"/>
  <c r="L59" i="1"/>
  <c r="H58" i="1"/>
  <c r="R56" i="1"/>
  <c r="O55" i="1"/>
  <c r="L54" i="1"/>
  <c r="I53" i="1"/>
  <c r="F52" i="1"/>
  <c r="P50" i="1"/>
  <c r="M49" i="1"/>
  <c r="J48" i="1"/>
  <c r="G47" i="1"/>
  <c r="Q45" i="1"/>
  <c r="N44" i="1"/>
  <c r="K43" i="1"/>
  <c r="H42" i="1"/>
  <c r="R40" i="1"/>
  <c r="O39" i="1"/>
  <c r="L38" i="1"/>
  <c r="I37" i="1"/>
  <c r="F36" i="1"/>
  <c r="P34" i="1"/>
  <c r="M33" i="1"/>
  <c r="O284" i="1"/>
  <c r="P282" i="1"/>
  <c r="G281" i="1"/>
  <c r="F279" i="1"/>
  <c r="J277" i="1"/>
  <c r="K275" i="1"/>
  <c r="P271" i="1"/>
  <c r="R269" i="1"/>
  <c r="F268" i="1"/>
  <c r="K264" i="1"/>
  <c r="L262" i="1"/>
  <c r="M260" i="1"/>
  <c r="Q258" i="1"/>
  <c r="R256" i="1"/>
  <c r="I255" i="1"/>
  <c r="H253" i="1"/>
  <c r="L251" i="1"/>
  <c r="M249" i="1"/>
  <c r="Q247" i="1"/>
  <c r="R245" i="1"/>
  <c r="G244" i="1"/>
  <c r="H242" i="1"/>
  <c r="L240" i="1"/>
  <c r="M238" i="1"/>
  <c r="O236" i="1"/>
  <c r="O234" i="1"/>
  <c r="F233" i="1"/>
  <c r="K229" i="1"/>
  <c r="J227" i="1"/>
  <c r="N225" i="1"/>
  <c r="O223" i="1"/>
  <c r="F222" i="1"/>
  <c r="R219" i="1"/>
  <c r="I218" i="1"/>
  <c r="K216" i="1"/>
  <c r="P214" i="1"/>
  <c r="H213" i="1"/>
  <c r="I211" i="1"/>
  <c r="N209" i="1"/>
  <c r="P207" i="1"/>
  <c r="H206" i="1"/>
  <c r="I204" i="1"/>
  <c r="N202" i="1"/>
  <c r="F201" i="1"/>
  <c r="I199" i="1"/>
  <c r="H284" i="1"/>
  <c r="G282" i="1"/>
  <c r="Q279" i="1"/>
  <c r="M277" i="1"/>
  <c r="I275" i="1"/>
  <c r="H273" i="1"/>
  <c r="F269" i="1"/>
  <c r="P266" i="1"/>
  <c r="R264" i="1"/>
  <c r="Q262" i="1"/>
  <c r="K260" i="1"/>
  <c r="J258" i="1"/>
  <c r="I254" i="1"/>
  <c r="G252" i="1"/>
  <c r="G250" i="1"/>
  <c r="F248" i="1"/>
  <c r="N245" i="1"/>
  <c r="M243" i="1"/>
  <c r="K239" i="1"/>
  <c r="J237" i="1"/>
  <c r="L235" i="1"/>
  <c r="I233" i="1"/>
  <c r="R230" i="1"/>
  <c r="O228" i="1"/>
  <c r="Q226" i="1"/>
  <c r="P224" i="1"/>
  <c r="L222" i="1"/>
  <c r="N220" i="1"/>
  <c r="K218" i="1"/>
  <c r="I216" i="1"/>
  <c r="G214" i="1"/>
  <c r="J212" i="1"/>
  <c r="K210" i="1"/>
  <c r="L208" i="1"/>
  <c r="M206" i="1"/>
  <c r="O204" i="1"/>
  <c r="L202" i="1"/>
  <c r="M200" i="1"/>
  <c r="N198" i="1"/>
  <c r="P196" i="1"/>
  <c r="F195" i="1"/>
  <c r="F193" i="1"/>
  <c r="L189" i="1"/>
  <c r="P187" i="1"/>
  <c r="Q185" i="1"/>
  <c r="I184" i="1"/>
  <c r="L182" i="1"/>
  <c r="F181" i="1"/>
  <c r="L179" i="1"/>
  <c r="F178" i="1"/>
  <c r="M176" i="1"/>
  <c r="G175" i="1"/>
  <c r="N173" i="1"/>
  <c r="G172" i="1"/>
  <c r="M170" i="1"/>
  <c r="G169" i="1"/>
  <c r="N167" i="1"/>
  <c r="H166" i="1"/>
  <c r="N164" i="1"/>
  <c r="H163" i="1"/>
  <c r="O161" i="1"/>
  <c r="G160" i="1"/>
  <c r="M158" i="1"/>
  <c r="G157" i="1"/>
  <c r="N155" i="1"/>
  <c r="H154" i="1"/>
  <c r="H151" i="1"/>
  <c r="P149" i="1"/>
  <c r="K148" i="1"/>
  <c r="F147" i="1"/>
  <c r="N145" i="1"/>
  <c r="I144" i="1"/>
  <c r="Q142" i="1"/>
  <c r="K141" i="1"/>
  <c r="F140" i="1"/>
  <c r="M138" i="1"/>
  <c r="H137" i="1"/>
  <c r="P135" i="1"/>
  <c r="K134" i="1"/>
  <c r="F133" i="1"/>
  <c r="M131" i="1"/>
  <c r="H130" i="1"/>
  <c r="P128" i="1"/>
  <c r="K125" i="1"/>
  <c r="F124" i="1"/>
  <c r="N122" i="1"/>
  <c r="I121" i="1"/>
  <c r="Q119" i="1"/>
  <c r="K118" i="1"/>
  <c r="F117" i="1"/>
  <c r="M115" i="1"/>
  <c r="H114" i="1"/>
  <c r="P112" i="1"/>
  <c r="K111" i="1"/>
  <c r="F110" i="1"/>
  <c r="M108" i="1"/>
  <c r="H107" i="1"/>
  <c r="P105" i="1"/>
  <c r="K104" i="1"/>
  <c r="F103" i="1"/>
  <c r="N101" i="1"/>
  <c r="I100" i="1"/>
  <c r="P98" i="1"/>
  <c r="K97" i="1"/>
  <c r="F96" i="1"/>
  <c r="M94" i="1"/>
  <c r="H93" i="1"/>
  <c r="P91" i="1"/>
  <c r="K90" i="1"/>
  <c r="R87" i="1"/>
  <c r="M86" i="1"/>
  <c r="H85" i="1"/>
  <c r="P83" i="1"/>
  <c r="K82" i="1"/>
  <c r="F81" i="1"/>
  <c r="N79" i="1"/>
  <c r="I78" i="1"/>
  <c r="P76" i="1"/>
  <c r="K75" i="1"/>
  <c r="F74" i="1"/>
  <c r="M72" i="1"/>
  <c r="H71" i="1"/>
  <c r="P69" i="1"/>
  <c r="K68" i="1"/>
  <c r="R66" i="1"/>
  <c r="M65" i="1"/>
  <c r="H64" i="1"/>
  <c r="P62" i="1"/>
  <c r="K61" i="1"/>
  <c r="F60" i="1"/>
  <c r="N58" i="1"/>
  <c r="I57" i="1"/>
  <c r="R55" i="1"/>
  <c r="N54" i="1"/>
  <c r="J53" i="1"/>
  <c r="R51" i="1"/>
  <c r="N50" i="1"/>
  <c r="J49" i="1"/>
  <c r="F48" i="1"/>
  <c r="O46" i="1"/>
  <c r="K45" i="1"/>
  <c r="G44" i="1"/>
  <c r="P42" i="1"/>
  <c r="L41" i="1"/>
  <c r="H40" i="1"/>
  <c r="Q38" i="1"/>
  <c r="M37" i="1"/>
  <c r="I36" i="1"/>
  <c r="R34" i="1"/>
  <c r="N33" i="1"/>
  <c r="J32" i="1"/>
  <c r="Q29" i="1"/>
  <c r="K27" i="1"/>
  <c r="H26" i="1"/>
  <c r="R24" i="1"/>
  <c r="O23" i="1"/>
  <c r="L22" i="1"/>
  <c r="I21" i="1"/>
  <c r="F20" i="1"/>
  <c r="P18" i="1"/>
  <c r="M17" i="1"/>
  <c r="J16" i="1"/>
  <c r="G15" i="1"/>
  <c r="Q13" i="1"/>
  <c r="N12" i="1"/>
  <c r="K11" i="1"/>
  <c r="H10" i="1"/>
  <c r="R8" i="1"/>
  <c r="O7" i="1"/>
  <c r="L6" i="1"/>
  <c r="P251" i="1"/>
  <c r="O226" i="1"/>
  <c r="J222" i="1"/>
  <c r="G218" i="1"/>
  <c r="H212" i="1"/>
  <c r="J208" i="1"/>
  <c r="G204" i="1"/>
  <c r="M196" i="1"/>
  <c r="Q192" i="1"/>
  <c r="L187" i="1"/>
  <c r="R183" i="1"/>
  <c r="P180" i="1"/>
  <c r="K176" i="1"/>
  <c r="K173" i="1"/>
  <c r="R168" i="1"/>
  <c r="L164" i="1"/>
  <c r="K161" i="1"/>
  <c r="K158" i="1"/>
  <c r="F154" i="1"/>
  <c r="F151" i="1"/>
  <c r="I148" i="1"/>
  <c r="G144" i="1"/>
  <c r="H141" i="1"/>
  <c r="K138" i="1"/>
  <c r="I134" i="1"/>
  <c r="K131" i="1"/>
  <c r="I125" i="1"/>
  <c r="G121" i="1"/>
  <c r="H118" i="1"/>
  <c r="K115" i="1"/>
  <c r="N112" i="1"/>
  <c r="P109" i="1"/>
  <c r="F107" i="1"/>
  <c r="Q102" i="1"/>
  <c r="F100" i="1"/>
  <c r="P95" i="1"/>
  <c r="P87" i="1"/>
  <c r="F85" i="1"/>
  <c r="I82" i="1"/>
  <c r="F78" i="1"/>
  <c r="H75" i="1"/>
  <c r="K72" i="1"/>
  <c r="H68" i="1"/>
  <c r="F64" i="1"/>
  <c r="I61" i="1"/>
  <c r="G57" i="1"/>
  <c r="P55" i="1"/>
  <c r="G53" i="1"/>
  <c r="H49" i="1"/>
  <c r="M46" i="1"/>
  <c r="N42" i="1"/>
  <c r="F40" i="1"/>
  <c r="K37" i="1"/>
  <c r="K33" i="1"/>
  <c r="R30" i="1"/>
  <c r="L28" i="1"/>
  <c r="F26" i="1"/>
  <c r="P24" i="1"/>
  <c r="Q19" i="1"/>
  <c r="K17" i="1"/>
  <c r="R14" i="1"/>
  <c r="L12" i="1"/>
  <c r="F10" i="1"/>
  <c r="M7" i="1"/>
  <c r="R283" i="1"/>
  <c r="I264" i="1"/>
  <c r="G258" i="1"/>
  <c r="R253" i="1"/>
  <c r="L249" i="1"/>
  <c r="K245" i="1"/>
  <c r="F241" i="1"/>
  <c r="G237" i="1"/>
  <c r="M232" i="1"/>
  <c r="L228" i="1"/>
  <c r="J224" i="1"/>
  <c r="Q219" i="1"/>
  <c r="R215" i="1"/>
  <c r="G212" i="1"/>
  <c r="I208" i="1"/>
  <c r="F204" i="1"/>
  <c r="J200" i="1"/>
  <c r="L196" i="1"/>
  <c r="P192" i="1"/>
  <c r="I189" i="1"/>
  <c r="I182" i="1"/>
  <c r="I179" i="1"/>
  <c r="J176" i="1"/>
  <c r="I173" i="1"/>
  <c r="J170" i="1"/>
  <c r="K167" i="1"/>
  <c r="J164" i="1"/>
  <c r="J161" i="1"/>
  <c r="J158" i="1"/>
  <c r="K155" i="1"/>
  <c r="K152" i="1"/>
  <c r="M149" i="1"/>
  <c r="P146" i="1"/>
  <c r="G141" i="1"/>
  <c r="R136" i="1"/>
  <c r="H134" i="1"/>
  <c r="J131" i="1"/>
  <c r="M128" i="1"/>
  <c r="P123" i="1"/>
  <c r="L119" i="1"/>
  <c r="O116" i="1"/>
  <c r="R113" i="1"/>
  <c r="G111" i="1"/>
  <c r="J108" i="1"/>
  <c r="M105" i="1"/>
  <c r="P102" i="1"/>
  <c r="R99" i="1"/>
  <c r="G97" i="1"/>
  <c r="J94" i="1"/>
  <c r="M91" i="1"/>
  <c r="O87" i="1"/>
  <c r="M83" i="1"/>
  <c r="P80" i="1"/>
  <c r="R77" i="1"/>
  <c r="G75" i="1"/>
  <c r="J72" i="1"/>
  <c r="L69" i="1"/>
  <c r="G68" i="1"/>
  <c r="M62" i="1"/>
  <c r="P59" i="1"/>
  <c r="F57" i="1"/>
  <c r="J54" i="1"/>
  <c r="O51" i="1"/>
  <c r="G49" i="1"/>
  <c r="L46" i="1"/>
  <c r="Q43" i="1"/>
  <c r="I41" i="1"/>
  <c r="N38" i="1"/>
  <c r="R35" i="1"/>
  <c r="J33" i="1"/>
  <c r="Q30" i="1"/>
  <c r="K28" i="1"/>
  <c r="R25" i="1"/>
  <c r="L23" i="1"/>
  <c r="F21" i="1"/>
  <c r="M18" i="1"/>
  <c r="G16" i="1"/>
  <c r="N13" i="1"/>
  <c r="H11" i="1"/>
  <c r="O8" i="1"/>
  <c r="I6" i="1"/>
  <c r="Q283" i="1"/>
  <c r="R278" i="1"/>
  <c r="R274" i="1"/>
  <c r="G284" i="1"/>
  <c r="P281" i="1"/>
  <c r="P279" i="1"/>
  <c r="I277" i="1"/>
  <c r="H275" i="1"/>
  <c r="R272" i="1"/>
  <c r="F271" i="1"/>
  <c r="R268" i="1"/>
  <c r="O266" i="1"/>
  <c r="Q264" i="1"/>
  <c r="K262" i="1"/>
  <c r="J260" i="1"/>
  <c r="I258" i="1"/>
  <c r="I256" i="1"/>
  <c r="F252" i="1"/>
  <c r="P249" i="1"/>
  <c r="P247" i="1"/>
  <c r="M245" i="1"/>
  <c r="K243" i="1"/>
  <c r="M241" i="1"/>
  <c r="J239" i="1"/>
  <c r="I237" i="1"/>
  <c r="F235" i="1"/>
  <c r="R232" i="1"/>
  <c r="Q230" i="1"/>
  <c r="N228" i="1"/>
  <c r="P226" i="1"/>
  <c r="M224" i="1"/>
  <c r="K222" i="1"/>
  <c r="M220" i="1"/>
  <c r="H218" i="1"/>
  <c r="H216" i="1"/>
  <c r="F214" i="1"/>
  <c r="I212" i="1"/>
  <c r="J210" i="1"/>
  <c r="K208" i="1"/>
  <c r="L206" i="1"/>
  <c r="H204" i="1"/>
  <c r="K202" i="1"/>
  <c r="L200" i="1"/>
  <c r="M198" i="1"/>
  <c r="O196" i="1"/>
  <c r="R194" i="1"/>
  <c r="R192" i="1"/>
  <c r="I191" i="1"/>
  <c r="K189" i="1"/>
  <c r="O187" i="1"/>
  <c r="P185" i="1"/>
  <c r="G184" i="1"/>
  <c r="K182" i="1"/>
  <c r="R180" i="1"/>
  <c r="K179" i="1"/>
  <c r="R177" i="1"/>
  <c r="L176" i="1"/>
  <c r="F175" i="1"/>
  <c r="M173" i="1"/>
  <c r="R171" i="1"/>
  <c r="L170" i="1"/>
  <c r="F169" i="1"/>
  <c r="M167" i="1"/>
  <c r="F166" i="1"/>
  <c r="M164" i="1"/>
  <c r="G163" i="1"/>
  <c r="L161" i="1"/>
  <c r="F160" i="1"/>
  <c r="L158" i="1"/>
  <c r="M155" i="1"/>
  <c r="G154" i="1"/>
  <c r="N152" i="1"/>
  <c r="G151" i="1"/>
  <c r="O149" i="1"/>
  <c r="J148" i="1"/>
  <c r="R146" i="1"/>
  <c r="M145" i="1"/>
  <c r="H144" i="1"/>
  <c r="P142" i="1"/>
  <c r="Q139" i="1"/>
  <c r="L138" i="1"/>
  <c r="G137" i="1"/>
  <c r="O135" i="1"/>
  <c r="J134" i="1"/>
  <c r="R132" i="1"/>
  <c r="L131" i="1"/>
  <c r="G130" i="1"/>
  <c r="O128" i="1"/>
  <c r="J125" i="1"/>
  <c r="R123" i="1"/>
  <c r="H121" i="1"/>
  <c r="O119" i="1"/>
  <c r="J118" i="1"/>
  <c r="Q116" i="1"/>
  <c r="L115" i="1"/>
  <c r="G114" i="1"/>
  <c r="O112" i="1"/>
  <c r="J111" i="1"/>
  <c r="Q109" i="1"/>
  <c r="L108" i="1"/>
  <c r="G107" i="1"/>
  <c r="O105" i="1"/>
  <c r="J104" i="1"/>
  <c r="R102" i="1"/>
  <c r="M101" i="1"/>
  <c r="H100" i="1"/>
  <c r="O98" i="1"/>
  <c r="J97" i="1"/>
  <c r="Q95" i="1"/>
  <c r="L94" i="1"/>
  <c r="G93" i="1"/>
  <c r="O91" i="1"/>
  <c r="J90" i="1"/>
  <c r="Q87" i="1"/>
  <c r="L86" i="1"/>
  <c r="G85" i="1"/>
  <c r="O83" i="1"/>
  <c r="R80" i="1"/>
  <c r="M79" i="1"/>
  <c r="G78" i="1"/>
  <c r="O76" i="1"/>
  <c r="J75" i="1"/>
  <c r="Q73" i="1"/>
  <c r="L72" i="1"/>
  <c r="G71" i="1"/>
  <c r="O69" i="1"/>
  <c r="I68" i="1"/>
  <c r="Q66" i="1"/>
  <c r="L65" i="1"/>
  <c r="G64" i="1"/>
  <c r="O62" i="1"/>
  <c r="J61" i="1"/>
  <c r="R59" i="1"/>
  <c r="H57" i="1"/>
  <c r="Q55" i="1"/>
  <c r="M54" i="1"/>
  <c r="H53" i="1"/>
  <c r="Q51" i="1"/>
  <c r="M50" i="1"/>
  <c r="I49" i="1"/>
  <c r="R47" i="1"/>
  <c r="J45" i="1"/>
  <c r="F44" i="1"/>
  <c r="O42" i="1"/>
  <c r="K41" i="1"/>
  <c r="G40" i="1"/>
  <c r="P38" i="1"/>
  <c r="L37" i="1"/>
  <c r="H36" i="1"/>
  <c r="Q34" i="1"/>
  <c r="L33" i="1"/>
  <c r="I32" i="1"/>
  <c r="F31" i="1"/>
  <c r="P29" i="1"/>
  <c r="M28" i="1"/>
  <c r="G26" i="1"/>
  <c r="Q24" i="1"/>
  <c r="N23" i="1"/>
  <c r="K22" i="1"/>
  <c r="H21" i="1"/>
  <c r="R19" i="1"/>
  <c r="O18" i="1"/>
  <c r="L17" i="1"/>
  <c r="I16" i="1"/>
  <c r="F15" i="1"/>
  <c r="P13" i="1"/>
  <c r="M12" i="1"/>
  <c r="J11" i="1"/>
  <c r="G10" i="1"/>
  <c r="Q8" i="1"/>
  <c r="N7" i="1"/>
  <c r="K6" i="1"/>
  <c r="G254" i="1"/>
  <c r="M228" i="1"/>
  <c r="I220" i="1"/>
  <c r="G216" i="1"/>
  <c r="I210" i="1"/>
  <c r="K206" i="1"/>
  <c r="J202" i="1"/>
  <c r="L198" i="1"/>
  <c r="Q194" i="1"/>
  <c r="H191" i="1"/>
  <c r="N185" i="1"/>
  <c r="J182" i="1"/>
  <c r="J179" i="1"/>
  <c r="R174" i="1"/>
  <c r="Q171" i="1"/>
  <c r="K170" i="1"/>
  <c r="L167" i="1"/>
  <c r="R162" i="1"/>
  <c r="Q159" i="1"/>
  <c r="R156" i="1"/>
  <c r="L152" i="1"/>
  <c r="N149" i="1"/>
  <c r="Q146" i="1"/>
  <c r="N142" i="1"/>
  <c r="P139" i="1"/>
  <c r="F137" i="1"/>
  <c r="P132" i="1"/>
  <c r="F130" i="1"/>
  <c r="N128" i="1"/>
  <c r="L122" i="1"/>
  <c r="N119" i="1"/>
  <c r="P116" i="1"/>
  <c r="I111" i="1"/>
  <c r="K108" i="1"/>
  <c r="I104" i="1"/>
  <c r="L101" i="1"/>
  <c r="N98" i="1"/>
  <c r="K94" i="1"/>
  <c r="N91" i="1"/>
  <c r="K86" i="1"/>
  <c r="N83" i="1"/>
  <c r="Q80" i="1"/>
  <c r="N76" i="1"/>
  <c r="P73" i="1"/>
  <c r="F71" i="1"/>
  <c r="P66" i="1"/>
  <c r="K65" i="1"/>
  <c r="N62" i="1"/>
  <c r="K58" i="1"/>
  <c r="K54" i="1"/>
  <c r="L50" i="1"/>
  <c r="Q47" i="1"/>
  <c r="I45" i="1"/>
  <c r="J41" i="1"/>
  <c r="O38" i="1"/>
  <c r="O34" i="1"/>
  <c r="H32" i="1"/>
  <c r="I27" i="1"/>
  <c r="M23" i="1"/>
  <c r="G21" i="1"/>
  <c r="N18" i="1"/>
  <c r="H16" i="1"/>
  <c r="O13" i="1"/>
  <c r="I11" i="1"/>
  <c r="P8" i="1"/>
  <c r="J6" i="1"/>
  <c r="N281" i="1"/>
  <c r="N279" i="1"/>
  <c r="Q276" i="1"/>
  <c r="F275" i="1"/>
  <c r="O272" i="1"/>
  <c r="N270" i="1"/>
  <c r="P268" i="1"/>
  <c r="M266" i="1"/>
  <c r="F262" i="1"/>
  <c r="H260" i="1"/>
  <c r="Q255" i="1"/>
  <c r="O251" i="1"/>
  <c r="N247" i="1"/>
  <c r="I243" i="1"/>
  <c r="H239" i="1"/>
  <c r="N234" i="1"/>
  <c r="M230" i="1"/>
  <c r="K226" i="1"/>
  <c r="I222" i="1"/>
  <c r="P217" i="1"/>
  <c r="Q213" i="1"/>
  <c r="H210" i="1"/>
  <c r="G206" i="1"/>
  <c r="I202" i="1"/>
  <c r="K198" i="1"/>
  <c r="P194" i="1"/>
  <c r="G191" i="1"/>
  <c r="J187" i="1"/>
  <c r="Q183" i="1"/>
  <c r="O180" i="1"/>
  <c r="P177" i="1"/>
  <c r="Q174" i="1"/>
  <c r="P171" i="1"/>
  <c r="Q168" i="1"/>
  <c r="Q165" i="1"/>
  <c r="P162" i="1"/>
  <c r="P159" i="1"/>
  <c r="Q156" i="1"/>
  <c r="R153" i="1"/>
  <c r="R150" i="1"/>
  <c r="H148" i="1"/>
  <c r="K145" i="1"/>
  <c r="L142" i="1"/>
  <c r="O139" i="1"/>
  <c r="O132" i="1"/>
  <c r="R129" i="1"/>
  <c r="H125" i="1"/>
  <c r="K122" i="1"/>
  <c r="R120" i="1"/>
  <c r="G118" i="1"/>
  <c r="J115" i="1"/>
  <c r="M112" i="1"/>
  <c r="O109" i="1"/>
  <c r="R106" i="1"/>
  <c r="H104" i="1"/>
  <c r="K101" i="1"/>
  <c r="L98" i="1"/>
  <c r="O95" i="1"/>
  <c r="R92" i="1"/>
  <c r="G90" i="1"/>
  <c r="R84" i="1"/>
  <c r="H82" i="1"/>
  <c r="J79" i="1"/>
  <c r="L76" i="1"/>
  <c r="O73" i="1"/>
  <c r="R70" i="1"/>
  <c r="O66" i="1"/>
  <c r="R63" i="1"/>
  <c r="H61" i="1"/>
  <c r="J58" i="1"/>
  <c r="N55" i="1"/>
  <c r="F53" i="1"/>
  <c r="K50" i="1"/>
  <c r="P47" i="1"/>
  <c r="H45" i="1"/>
  <c r="M42" i="1"/>
  <c r="R39" i="1"/>
  <c r="J37" i="1"/>
  <c r="N34" i="1"/>
  <c r="N29" i="1"/>
  <c r="H27" i="1"/>
  <c r="O24" i="1"/>
  <c r="I22" i="1"/>
  <c r="P19" i="1"/>
  <c r="J17" i="1"/>
  <c r="Q14" i="1"/>
  <c r="K12" i="1"/>
  <c r="R9" i="1"/>
  <c r="L7" i="1"/>
  <c r="L281" i="1"/>
  <c r="F284" i="1"/>
  <c r="O281" i="1"/>
  <c r="O279" i="1"/>
  <c r="G275" i="1"/>
  <c r="P272" i="1"/>
  <c r="O270" i="1"/>
  <c r="Q268" i="1"/>
  <c r="N266" i="1"/>
  <c r="M264" i="1"/>
  <c r="G262" i="1"/>
  <c r="I260" i="1"/>
  <c r="H258" i="1"/>
  <c r="R255" i="1"/>
  <c r="O249" i="1"/>
  <c r="O247" i="1"/>
  <c r="L245" i="1"/>
  <c r="J243" i="1"/>
  <c r="G241" i="1"/>
  <c r="I239" i="1"/>
  <c r="H237" i="1"/>
  <c r="R234" i="1"/>
  <c r="Q232" i="1"/>
  <c r="N230" i="1"/>
  <c r="K224" i="1"/>
  <c r="R213" i="1"/>
  <c r="K200" i="1"/>
  <c r="J189" i="1"/>
  <c r="Q177" i="1"/>
  <c r="R165" i="1"/>
  <c r="L155" i="1"/>
  <c r="L145" i="1"/>
  <c r="N135" i="1"/>
  <c r="Q123" i="1"/>
  <c r="F114" i="1"/>
  <c r="N105" i="1"/>
  <c r="H97" i="1"/>
  <c r="H90" i="1"/>
  <c r="L79" i="1"/>
  <c r="N69" i="1"/>
  <c r="Q59" i="1"/>
  <c r="P51" i="1"/>
  <c r="R43" i="1"/>
  <c r="G36" i="1"/>
  <c r="P285" i="1"/>
  <c r="R285" i="1"/>
  <c r="N282" i="1"/>
  <c r="Q278" i="1"/>
  <c r="J276" i="1"/>
  <c r="M273" i="1"/>
  <c r="K270" i="1"/>
  <c r="N267" i="1"/>
  <c r="P261" i="1"/>
  <c r="I259" i="1"/>
  <c r="L253" i="1"/>
  <c r="P250" i="1"/>
  <c r="H248" i="1"/>
  <c r="Q244" i="1"/>
  <c r="J242" i="1"/>
  <c r="M239" i="1"/>
  <c r="I236" i="1"/>
  <c r="G234" i="1"/>
  <c r="I228" i="1"/>
  <c r="L225" i="1"/>
  <c r="O222" i="1"/>
  <c r="N219" i="1"/>
  <c r="F217" i="1"/>
  <c r="N214" i="1"/>
  <c r="O211" i="1"/>
  <c r="G209" i="1"/>
  <c r="O206" i="1"/>
  <c r="P203" i="1"/>
  <c r="J201" i="1"/>
  <c r="R198" i="1"/>
  <c r="I196" i="1"/>
  <c r="Q193" i="1"/>
  <c r="L191" i="1"/>
  <c r="P188" i="1"/>
  <c r="M186" i="1"/>
  <c r="K184" i="1"/>
  <c r="R181" i="1"/>
  <c r="H180" i="1"/>
  <c r="H178" i="1"/>
  <c r="G176" i="1"/>
  <c r="G174" i="1"/>
  <c r="J172" i="1"/>
  <c r="G170" i="1"/>
  <c r="H168" i="1"/>
  <c r="J166" i="1"/>
  <c r="F164" i="1"/>
  <c r="H162" i="1"/>
  <c r="K160" i="1"/>
  <c r="G158" i="1"/>
  <c r="H156" i="1"/>
  <c r="J154" i="1"/>
  <c r="G152" i="1"/>
  <c r="M148" i="1"/>
  <c r="L146" i="1"/>
  <c r="O144" i="1"/>
  <c r="Q140" i="1"/>
  <c r="H139" i="1"/>
  <c r="K137" i="1"/>
  <c r="I135" i="1"/>
  <c r="P131" i="1"/>
  <c r="O129" i="1"/>
  <c r="Q125" i="1"/>
  <c r="H124" i="1"/>
  <c r="F122" i="1"/>
  <c r="J120" i="1"/>
  <c r="N118" i="1"/>
  <c r="L116" i="1"/>
  <c r="O114" i="1"/>
  <c r="R112" i="1"/>
  <c r="Q110" i="1"/>
  <c r="H109" i="1"/>
  <c r="J107" i="1"/>
  <c r="J105" i="1"/>
  <c r="L103" i="1"/>
  <c r="P101" i="1"/>
  <c r="N99" i="1"/>
  <c r="R97" i="1"/>
  <c r="H96" i="1"/>
  <c r="G94" i="1"/>
  <c r="J92" i="1"/>
  <c r="M90" i="1"/>
  <c r="L87" i="1"/>
  <c r="O85" i="1"/>
  <c r="R83" i="1"/>
  <c r="R81" i="1"/>
  <c r="G80" i="1"/>
  <c r="K78" i="1"/>
  <c r="I76" i="1"/>
  <c r="M74" i="1"/>
  <c r="P72" i="1"/>
  <c r="N70" i="1"/>
  <c r="R68" i="1"/>
  <c r="H67" i="1"/>
  <c r="G65" i="1"/>
  <c r="I63" i="1"/>
  <c r="M61" i="1"/>
  <c r="K59" i="1"/>
  <c r="O57" i="1"/>
  <c r="G56" i="1"/>
  <c r="G54" i="1"/>
  <c r="L52" i="1"/>
  <c r="Q50" i="1"/>
  <c r="Q48" i="1"/>
  <c r="M45" i="1"/>
  <c r="N43" i="1"/>
  <c r="R41" i="1"/>
  <c r="J40" i="1"/>
  <c r="J38" i="1"/>
  <c r="O36" i="1"/>
  <c r="G35" i="1"/>
  <c r="G33" i="1"/>
  <c r="M31" i="1"/>
  <c r="F30" i="1"/>
  <c r="H28" i="1"/>
  <c r="N26" i="1"/>
  <c r="I23" i="1"/>
  <c r="O21" i="1"/>
  <c r="H20" i="1"/>
  <c r="J18" i="1"/>
  <c r="P16" i="1"/>
  <c r="I15" i="1"/>
  <c r="K13" i="1"/>
  <c r="Q11" i="1"/>
  <c r="J10" i="1"/>
  <c r="L8" i="1"/>
  <c r="R6" i="1"/>
  <c r="L285" i="1"/>
  <c r="O278" i="1"/>
  <c r="N272" i="1"/>
  <c r="L267" i="1"/>
  <c r="F259" i="1"/>
  <c r="F253" i="1"/>
  <c r="F242" i="1"/>
  <c r="G236" i="1"/>
  <c r="L230" i="1"/>
  <c r="G225" i="1"/>
  <c r="L219" i="1"/>
  <c r="M211" i="1"/>
  <c r="F206" i="1"/>
  <c r="H201" i="1"/>
  <c r="O195" i="1"/>
  <c r="F191" i="1"/>
  <c r="K186" i="1"/>
  <c r="P181" i="1"/>
  <c r="O177" i="1"/>
  <c r="R173" i="1"/>
  <c r="Q169" i="1"/>
  <c r="O165" i="1"/>
  <c r="F162" i="1"/>
  <c r="R157" i="1"/>
  <c r="Q153" i="1"/>
  <c r="H150" i="1"/>
  <c r="I146" i="1"/>
  <c r="K142" i="1"/>
  <c r="R138" i="1"/>
  <c r="G135" i="1"/>
  <c r="I131" i="1"/>
  <c r="O125" i="1"/>
  <c r="Q121" i="1"/>
  <c r="F118" i="1"/>
  <c r="M114" i="1"/>
  <c r="O110" i="1"/>
  <c r="Q106" i="1"/>
  <c r="J103" i="1"/>
  <c r="L99" i="1"/>
  <c r="N95" i="1"/>
  <c r="H92" i="1"/>
  <c r="J87" i="1"/>
  <c r="L83" i="1"/>
  <c r="R79" i="1"/>
  <c r="G76" i="1"/>
  <c r="I72" i="1"/>
  <c r="P68" i="1"/>
  <c r="R64" i="1"/>
  <c r="G61" i="1"/>
  <c r="M57" i="1"/>
  <c r="R53" i="1"/>
  <c r="P41" i="1"/>
  <c r="H38" i="1"/>
  <c r="M36" i="1"/>
  <c r="R32" i="1"/>
  <c r="F28" i="1"/>
  <c r="G23" i="1"/>
  <c r="O19" i="1"/>
  <c r="N16" i="1"/>
  <c r="O11" i="1"/>
  <c r="J8" i="1"/>
  <c r="K285" i="1"/>
  <c r="P258" i="1"/>
  <c r="R252" i="1"/>
  <c r="G247" i="1"/>
  <c r="F239" i="1"/>
  <c r="L233" i="1"/>
  <c r="R227" i="1"/>
  <c r="R221" i="1"/>
  <c r="N216" i="1"/>
  <c r="H211" i="1"/>
  <c r="P205" i="1"/>
  <c r="M203" i="1"/>
  <c r="F198" i="1"/>
  <c r="N193" i="1"/>
  <c r="J188" i="1"/>
  <c r="O183" i="1"/>
  <c r="Q179" i="1"/>
  <c r="O175" i="1"/>
  <c r="N171" i="1"/>
  <c r="N165" i="1"/>
  <c r="R161" i="1"/>
  <c r="Q157" i="1"/>
  <c r="O153" i="1"/>
  <c r="F150" i="1"/>
  <c r="J142" i="1"/>
  <c r="P136" i="1"/>
  <c r="I133" i="1"/>
  <c r="N125" i="1"/>
  <c r="G120" i="1"/>
  <c r="L114" i="1"/>
  <c r="Q108" i="1"/>
  <c r="I103" i="1"/>
  <c r="O97" i="1"/>
  <c r="G92" i="1"/>
  <c r="K85" i="1"/>
  <c r="Q79" i="1"/>
  <c r="I74" i="1"/>
  <c r="N68" i="1"/>
  <c r="F63" i="1"/>
  <c r="H59" i="1"/>
  <c r="Q53" i="1"/>
  <c r="N48" i="1"/>
  <c r="J43" i="1"/>
  <c r="G38" i="1"/>
  <c r="Q32" i="1"/>
  <c r="R27" i="1"/>
  <c r="N19" i="1"/>
  <c r="O14" i="1"/>
  <c r="P9" i="1"/>
  <c r="M278" i="1"/>
  <c r="P269" i="1"/>
  <c r="L261" i="1"/>
  <c r="M255" i="1"/>
  <c r="I250" i="1"/>
  <c r="M244" i="1"/>
  <c r="O238" i="1"/>
  <c r="K233" i="1"/>
  <c r="L227" i="1"/>
  <c r="Q221" i="1"/>
  <c r="M216" i="1"/>
  <c r="F211" i="1"/>
  <c r="M205" i="1"/>
  <c r="Q200" i="1"/>
  <c r="M195" i="1"/>
  <c r="N190" i="1"/>
  <c r="H186" i="1"/>
  <c r="N181" i="1"/>
  <c r="M177" i="1"/>
  <c r="P173" i="1"/>
  <c r="P167" i="1"/>
  <c r="O163" i="1"/>
  <c r="P157" i="1"/>
  <c r="M153" i="1"/>
  <c r="R149" i="1"/>
  <c r="G146" i="1"/>
  <c r="I142" i="1"/>
  <c r="P138" i="1"/>
  <c r="H133" i="1"/>
  <c r="G131" i="1"/>
  <c r="K123" i="1"/>
  <c r="Q117" i="1"/>
  <c r="I112" i="1"/>
  <c r="O106" i="1"/>
  <c r="F101" i="1"/>
  <c r="L95" i="1"/>
  <c r="Q89" i="1"/>
  <c r="J83" i="1"/>
  <c r="P79" i="1"/>
  <c r="R75" i="1"/>
  <c r="G72" i="1"/>
  <c r="M68" i="1"/>
  <c r="O64" i="1"/>
  <c r="Q60" i="1"/>
  <c r="K57" i="1"/>
  <c r="P53" i="1"/>
  <c r="H50" i="1"/>
  <c r="Q46" i="1"/>
  <c r="I43" i="1"/>
  <c r="N39" i="1"/>
  <c r="K36" i="1"/>
  <c r="I31" i="1"/>
  <c r="Q27" i="1"/>
  <c r="L24" i="1"/>
  <c r="K21" i="1"/>
  <c r="F18" i="1"/>
  <c r="N14" i="1"/>
  <c r="M11" i="1"/>
  <c r="H8" i="1"/>
  <c r="K281" i="1"/>
  <c r="P263" i="1"/>
  <c r="H250" i="1"/>
  <c r="L238" i="1"/>
  <c r="F230" i="1"/>
  <c r="K221" i="1"/>
  <c r="M213" i="1"/>
  <c r="L205" i="1"/>
  <c r="N200" i="1"/>
  <c r="I193" i="1"/>
  <c r="G186" i="1"/>
  <c r="M179" i="1"/>
  <c r="L171" i="1"/>
  <c r="K165" i="1"/>
  <c r="L159" i="1"/>
  <c r="L153" i="1"/>
  <c r="Q149" i="1"/>
  <c r="O138" i="1"/>
  <c r="L125" i="1"/>
  <c r="R119" i="1"/>
  <c r="I114" i="1"/>
  <c r="N108" i="1"/>
  <c r="G103" i="1"/>
  <c r="L97" i="1"/>
  <c r="Q91" i="1"/>
  <c r="F87" i="1"/>
  <c r="K81" i="1"/>
  <c r="Q75" i="1"/>
  <c r="I70" i="1"/>
  <c r="K66" i="1"/>
  <c r="O60" i="1"/>
  <c r="F59" i="1"/>
  <c r="O53" i="1"/>
  <c r="L48" i="1"/>
  <c r="Q285" i="1"/>
  <c r="M282" i="1"/>
  <c r="P278" i="1"/>
  <c r="G276" i="1"/>
  <c r="L273" i="1"/>
  <c r="J270" i="1"/>
  <c r="M267" i="1"/>
  <c r="F265" i="1"/>
  <c r="O261" i="1"/>
  <c r="H259" i="1"/>
  <c r="K256" i="1"/>
  <c r="G253" i="1"/>
  <c r="O250" i="1"/>
  <c r="G248" i="1"/>
  <c r="P244" i="1"/>
  <c r="L239" i="1"/>
  <c r="H236" i="1"/>
  <c r="P233" i="1"/>
  <c r="H228" i="1"/>
  <c r="H225" i="1"/>
  <c r="M222" i="1"/>
  <c r="M219" i="1"/>
  <c r="R216" i="1"/>
  <c r="M214" i="1"/>
  <c r="N211" i="1"/>
  <c r="F209" i="1"/>
  <c r="N206" i="1"/>
  <c r="O203" i="1"/>
  <c r="I201" i="1"/>
  <c r="O198" i="1"/>
  <c r="H196" i="1"/>
  <c r="P193" i="1"/>
  <c r="K191" i="1"/>
  <c r="L186" i="1"/>
  <c r="J184" i="1"/>
  <c r="Q181" i="1"/>
  <c r="G180" i="1"/>
  <c r="G178" i="1"/>
  <c r="Q175" i="1"/>
  <c r="F174" i="1"/>
  <c r="H172" i="1"/>
  <c r="R169" i="1"/>
  <c r="F168" i="1"/>
  <c r="I166" i="1"/>
  <c r="R163" i="1"/>
  <c r="G162" i="1"/>
  <c r="J160" i="1"/>
  <c r="G156" i="1"/>
  <c r="I154" i="1"/>
  <c r="F152" i="1"/>
  <c r="I150" i="1"/>
  <c r="L148" i="1"/>
  <c r="J146" i="1"/>
  <c r="N144" i="1"/>
  <c r="R142" i="1"/>
  <c r="P140" i="1"/>
  <c r="G139" i="1"/>
  <c r="I137" i="1"/>
  <c r="H135" i="1"/>
  <c r="L133" i="1"/>
  <c r="O131" i="1"/>
  <c r="N129" i="1"/>
  <c r="P125" i="1"/>
  <c r="G124" i="1"/>
  <c r="R121" i="1"/>
  <c r="I120" i="1"/>
  <c r="L118" i="1"/>
  <c r="K116" i="1"/>
  <c r="N114" i="1"/>
  <c r="Q112" i="1"/>
  <c r="P110" i="1"/>
  <c r="F109" i="1"/>
  <c r="I107" i="1"/>
  <c r="I105" i="1"/>
  <c r="K103" i="1"/>
  <c r="O101" i="1"/>
  <c r="M99" i="1"/>
  <c r="Q97" i="1"/>
  <c r="G96" i="1"/>
  <c r="F94" i="1"/>
  <c r="I92" i="1"/>
  <c r="L90" i="1"/>
  <c r="K87" i="1"/>
  <c r="N85" i="1"/>
  <c r="Q83" i="1"/>
  <c r="O81" i="1"/>
  <c r="F80" i="1"/>
  <c r="J78" i="1"/>
  <c r="H76" i="1"/>
  <c r="K74" i="1"/>
  <c r="O72" i="1"/>
  <c r="M70" i="1"/>
  <c r="Q68" i="1"/>
  <c r="F67" i="1"/>
  <c r="F65" i="1"/>
  <c r="H63" i="1"/>
  <c r="L61" i="1"/>
  <c r="J59" i="1"/>
  <c r="N57" i="1"/>
  <c r="F56" i="1"/>
  <c r="F54" i="1"/>
  <c r="K52" i="1"/>
  <c r="O50" i="1"/>
  <c r="P48" i="1"/>
  <c r="H47" i="1"/>
  <c r="L45" i="1"/>
  <c r="M43" i="1"/>
  <c r="Q41" i="1"/>
  <c r="I40" i="1"/>
  <c r="I38" i="1"/>
  <c r="N36" i="1"/>
  <c r="F35" i="1"/>
  <c r="F33" i="1"/>
  <c r="L31" i="1"/>
  <c r="R29" i="1"/>
  <c r="M26" i="1"/>
  <c r="F25" i="1"/>
  <c r="H23" i="1"/>
  <c r="N21" i="1"/>
  <c r="G20" i="1"/>
  <c r="I18" i="1"/>
  <c r="O16" i="1"/>
  <c r="H15" i="1"/>
  <c r="J13" i="1"/>
  <c r="P11" i="1"/>
  <c r="I10" i="1"/>
  <c r="K8" i="1"/>
  <c r="Q6" i="1"/>
  <c r="L282" i="1"/>
  <c r="F276" i="1"/>
  <c r="I270" i="1"/>
  <c r="H264" i="1"/>
  <c r="N261" i="1"/>
  <c r="P255" i="1"/>
  <c r="N250" i="1"/>
  <c r="O244" i="1"/>
  <c r="G239" i="1"/>
  <c r="M233" i="1"/>
  <c r="F228" i="1"/>
  <c r="H222" i="1"/>
  <c r="Q216" i="1"/>
  <c r="P213" i="1"/>
  <c r="R208" i="1"/>
  <c r="N203" i="1"/>
  <c r="G198" i="1"/>
  <c r="O193" i="1"/>
  <c r="M188" i="1"/>
  <c r="P183" i="1"/>
  <c r="F180" i="1"/>
  <c r="P175" i="1"/>
  <c r="O171" i="1"/>
  <c r="R167" i="1"/>
  <c r="Q163" i="1"/>
  <c r="O159" i="1"/>
  <c r="R151" i="1"/>
  <c r="G148" i="1"/>
  <c r="O140" i="1"/>
  <c r="Q136" i="1"/>
  <c r="J133" i="1"/>
  <c r="M129" i="1"/>
  <c r="O123" i="1"/>
  <c r="H120" i="1"/>
  <c r="J116" i="1"/>
  <c r="L112" i="1"/>
  <c r="R108" i="1"/>
  <c r="G105" i="1"/>
  <c r="I101" i="1"/>
  <c r="P97" i="1"/>
  <c r="Q93" i="1"/>
  <c r="F90" i="1"/>
  <c r="L85" i="1"/>
  <c r="N81" i="1"/>
  <c r="P77" i="1"/>
  <c r="J74" i="1"/>
  <c r="L70" i="1"/>
  <c r="N66" i="1"/>
  <c r="G63" i="1"/>
  <c r="I59" i="1"/>
  <c r="M55" i="1"/>
  <c r="J52" i="1"/>
  <c r="J50" i="1"/>
  <c r="F47" i="1"/>
  <c r="L43" i="1"/>
  <c r="Q39" i="1"/>
  <c r="M34" i="1"/>
  <c r="K31" i="1"/>
  <c r="L26" i="1"/>
  <c r="N24" i="1"/>
  <c r="M21" i="1"/>
  <c r="H18" i="1"/>
  <c r="P14" i="1"/>
  <c r="I13" i="1"/>
  <c r="Q9" i="1"/>
  <c r="P6" i="1"/>
  <c r="K282" i="1"/>
  <c r="N278" i="1"/>
  <c r="R275" i="1"/>
  <c r="M272" i="1"/>
  <c r="Q269" i="1"/>
  <c r="K267" i="1"/>
  <c r="M261" i="1"/>
  <c r="O255" i="1"/>
  <c r="N244" i="1"/>
  <c r="R241" i="1"/>
  <c r="F236" i="1"/>
  <c r="K230" i="1"/>
  <c r="F225" i="1"/>
  <c r="J219" i="1"/>
  <c r="O213" i="1"/>
  <c r="Q208" i="1"/>
  <c r="R200" i="1"/>
  <c r="N195" i="1"/>
  <c r="O190" i="1"/>
  <c r="J186" i="1"/>
  <c r="O181" i="1"/>
  <c r="N177" i="1"/>
  <c r="Q173" i="1"/>
  <c r="O169" i="1"/>
  <c r="P163" i="1"/>
  <c r="N159" i="1"/>
  <c r="Q155" i="1"/>
  <c r="Q151" i="1"/>
  <c r="F148" i="1"/>
  <c r="L144" i="1"/>
  <c r="F135" i="1"/>
  <c r="K129" i="1"/>
  <c r="P121" i="1"/>
  <c r="R117" i="1"/>
  <c r="N110" i="1"/>
  <c r="R104" i="1"/>
  <c r="K99" i="1"/>
  <c r="P93" i="1"/>
  <c r="R89" i="1"/>
  <c r="K83" i="1"/>
  <c r="O77" i="1"/>
  <c r="H72" i="1"/>
  <c r="M66" i="1"/>
  <c r="F61" i="1"/>
  <c r="L55" i="1"/>
  <c r="I50" i="1"/>
  <c r="P39" i="1"/>
  <c r="L34" i="1"/>
  <c r="L29" i="1"/>
  <c r="M24" i="1"/>
  <c r="L21" i="1"/>
  <c r="G18" i="1"/>
  <c r="H13" i="1"/>
  <c r="I8" i="1"/>
  <c r="H282" i="1"/>
  <c r="N275" i="1"/>
  <c r="L272" i="1"/>
  <c r="Q263" i="1"/>
  <c r="O258" i="1"/>
  <c r="Q252" i="1"/>
  <c r="F247" i="1"/>
  <c r="P241" i="1"/>
  <c r="R235" i="1"/>
  <c r="G230" i="1"/>
  <c r="R224" i="1"/>
  <c r="F219" i="1"/>
  <c r="N213" i="1"/>
  <c r="P208" i="1"/>
  <c r="L203" i="1"/>
  <c r="R197" i="1"/>
  <c r="L193" i="1"/>
  <c r="I188" i="1"/>
  <c r="N183" i="1"/>
  <c r="O179" i="1"/>
  <c r="N175" i="1"/>
  <c r="M171" i="1"/>
  <c r="N169" i="1"/>
  <c r="M165" i="1"/>
  <c r="M159" i="1"/>
  <c r="P155" i="1"/>
  <c r="O151" i="1"/>
  <c r="R147" i="1"/>
  <c r="K144" i="1"/>
  <c r="M140" i="1"/>
  <c r="R134" i="1"/>
  <c r="J129" i="1"/>
  <c r="O121" i="1"/>
  <c r="H116" i="1"/>
  <c r="M110" i="1"/>
  <c r="Q104" i="1"/>
  <c r="J99" i="1"/>
  <c r="O93" i="1"/>
  <c r="H87" i="1"/>
  <c r="L81" i="1"/>
  <c r="N77" i="1"/>
  <c r="H74" i="1"/>
  <c r="J70" i="1"/>
  <c r="L66" i="1"/>
  <c r="R62" i="1"/>
  <c r="G59" i="1"/>
  <c r="K55" i="1"/>
  <c r="H52" i="1"/>
  <c r="M48" i="1"/>
  <c r="R44" i="1"/>
  <c r="N41" i="1"/>
  <c r="F38" i="1"/>
  <c r="K34" i="1"/>
  <c r="P32" i="1"/>
  <c r="K29" i="1"/>
  <c r="J26" i="1"/>
  <c r="R22" i="1"/>
  <c r="M19" i="1"/>
  <c r="L16" i="1"/>
  <c r="G13" i="1"/>
  <c r="O9" i="1"/>
  <c r="N6" i="1"/>
  <c r="G285" i="1"/>
  <c r="M275" i="1"/>
  <c r="Q266" i="1"/>
  <c r="K258" i="1"/>
  <c r="P252" i="1"/>
  <c r="L244" i="1"/>
  <c r="O241" i="1"/>
  <c r="J233" i="1"/>
  <c r="Q224" i="1"/>
  <c r="J216" i="1"/>
  <c r="M208" i="1"/>
  <c r="Q197" i="1"/>
  <c r="M190" i="1"/>
  <c r="K183" i="1"/>
  <c r="L177" i="1"/>
  <c r="O173" i="1"/>
  <c r="O167" i="1"/>
  <c r="P161" i="1"/>
  <c r="O157" i="1"/>
  <c r="N151" i="1"/>
  <c r="F146" i="1"/>
  <c r="L140" i="1"/>
  <c r="Q134" i="1"/>
  <c r="I129" i="1"/>
  <c r="N121" i="1"/>
  <c r="F116" i="1"/>
  <c r="L110" i="1"/>
  <c r="P104" i="1"/>
  <c r="R100" i="1"/>
  <c r="N93" i="1"/>
  <c r="I85" i="1"/>
  <c r="O79" i="1"/>
  <c r="G74" i="1"/>
  <c r="L68" i="1"/>
  <c r="Q62" i="1"/>
  <c r="J55" i="1"/>
  <c r="G52" i="1"/>
  <c r="P46" i="1"/>
  <c r="R263" i="1"/>
  <c r="Q167" i="1"/>
  <c r="H146" i="1"/>
  <c r="Q138" i="1"/>
  <c r="H131" i="1"/>
  <c r="N123" i="1"/>
  <c r="I116" i="1"/>
  <c r="J112" i="1"/>
  <c r="P106" i="1"/>
  <c r="G101" i="1"/>
  <c r="M95" i="1"/>
  <c r="I87" i="1"/>
  <c r="M81" i="1"/>
  <c r="F76" i="1"/>
  <c r="K70" i="1"/>
  <c r="Q64" i="1"/>
  <c r="L57" i="1"/>
  <c r="I52" i="1"/>
  <c r="R46" i="1"/>
  <c r="O41" i="1"/>
  <c r="L36" i="1"/>
  <c r="J31" i="1"/>
  <c r="K26" i="1"/>
  <c r="F23" i="1"/>
  <c r="M16" i="1"/>
  <c r="N11" i="1"/>
  <c r="O6" i="1"/>
  <c r="J285" i="1"/>
  <c r="Q161" i="1"/>
  <c r="O136" i="1"/>
  <c r="M125" i="1"/>
  <c r="F120" i="1"/>
  <c r="K114" i="1"/>
  <c r="P108" i="1"/>
  <c r="H103" i="1"/>
  <c r="M97" i="1"/>
  <c r="R91" i="1"/>
  <c r="J85" i="1"/>
  <c r="L278" i="1"/>
  <c r="K272" i="1"/>
  <c r="L269" i="1"/>
  <c r="K261" i="1"/>
  <c r="L255" i="1"/>
  <c r="Q246" i="1"/>
  <c r="Q235" i="1"/>
  <c r="I227" i="1"/>
  <c r="R218" i="1"/>
  <c r="R210" i="1"/>
  <c r="K203" i="1"/>
  <c r="L195" i="1"/>
  <c r="H188" i="1"/>
  <c r="M181" i="1"/>
  <c r="L175" i="1"/>
  <c r="M169" i="1"/>
  <c r="M163" i="1"/>
  <c r="O155" i="1"/>
  <c r="P147" i="1"/>
  <c r="H142" i="1"/>
  <c r="N136" i="1"/>
  <c r="F131" i="1"/>
  <c r="J123" i="1"/>
  <c r="P117" i="1"/>
  <c r="H112" i="1"/>
  <c r="N106" i="1"/>
  <c r="I99" i="1"/>
  <c r="K95" i="1"/>
  <c r="P89" i="1"/>
  <c r="I83" i="1"/>
  <c r="M77" i="1"/>
  <c r="R71" i="1"/>
  <c r="M64" i="1"/>
  <c r="J57" i="1"/>
  <c r="G50" i="1"/>
  <c r="R284" i="1"/>
  <c r="I280" i="1"/>
  <c r="J274" i="1"/>
  <c r="M270" i="1"/>
  <c r="O265" i="1"/>
  <c r="J261" i="1"/>
  <c r="M252" i="1"/>
  <c r="J248" i="1"/>
  <c r="H238" i="1"/>
  <c r="K234" i="1"/>
  <c r="P229" i="1"/>
  <c r="P225" i="1"/>
  <c r="R220" i="1"/>
  <c r="Q215" i="1"/>
  <c r="L212" i="1"/>
  <c r="N207" i="1"/>
  <c r="R203" i="1"/>
  <c r="O199" i="1"/>
  <c r="K195" i="1"/>
  <c r="F192" i="1"/>
  <c r="R187" i="1"/>
  <c r="M184" i="1"/>
  <c r="N180" i="1"/>
  <c r="K177" i="1"/>
  <c r="L174" i="1"/>
  <c r="H171" i="1"/>
  <c r="J168" i="1"/>
  <c r="F165" i="1"/>
  <c r="I161" i="1"/>
  <c r="Q158" i="1"/>
  <c r="H155" i="1"/>
  <c r="I152" i="1"/>
  <c r="G149" i="1"/>
  <c r="R145" i="1"/>
  <c r="H140" i="1"/>
  <c r="M137" i="1"/>
  <c r="F134" i="1"/>
  <c r="R130" i="1"/>
  <c r="J128" i="1"/>
  <c r="G123" i="1"/>
  <c r="L120" i="1"/>
  <c r="K117" i="1"/>
  <c r="Q113" i="1"/>
  <c r="M111" i="1"/>
  <c r="G108" i="1"/>
  <c r="L105" i="1"/>
  <c r="I102" i="1"/>
  <c r="H99" i="1"/>
  <c r="M96" i="1"/>
  <c r="K93" i="1"/>
  <c r="P90" i="1"/>
  <c r="I86" i="1"/>
  <c r="F83" i="1"/>
  <c r="K80" i="1"/>
  <c r="J77" i="1"/>
  <c r="O74" i="1"/>
  <c r="M71" i="1"/>
  <c r="F68" i="1"/>
  <c r="O65" i="1"/>
  <c r="J62" i="1"/>
  <c r="N59" i="1"/>
  <c r="M56" i="1"/>
  <c r="N53" i="1"/>
  <c r="H51" i="1"/>
  <c r="H48" i="1"/>
  <c r="O45" i="1"/>
  <c r="R42" i="1"/>
  <c r="M40" i="1"/>
  <c r="P37" i="1"/>
  <c r="K35" i="1"/>
  <c r="N32" i="1"/>
  <c r="K30" i="1"/>
  <c r="P27" i="1"/>
  <c r="J23" i="1"/>
  <c r="O20" i="1"/>
  <c r="L18" i="1"/>
  <c r="Q15" i="1"/>
  <c r="R13" i="1"/>
  <c r="F11" i="1"/>
  <c r="H6" i="1"/>
  <c r="Q187" i="1"/>
  <c r="L184" i="1"/>
  <c r="M180" i="1"/>
  <c r="I177" i="1"/>
  <c r="K174" i="1"/>
  <c r="G171" i="1"/>
  <c r="I168" i="1"/>
  <c r="R164" i="1"/>
  <c r="G161" i="1"/>
  <c r="N158" i="1"/>
  <c r="G155" i="1"/>
  <c r="H152" i="1"/>
  <c r="F149" i="1"/>
  <c r="Q145" i="1"/>
  <c r="I143" i="1"/>
  <c r="G140" i="1"/>
  <c r="L137" i="1"/>
  <c r="R133" i="1"/>
  <c r="Q130" i="1"/>
  <c r="I128" i="1"/>
  <c r="F123" i="1"/>
  <c r="K120" i="1"/>
  <c r="I117" i="1"/>
  <c r="P113" i="1"/>
  <c r="L111" i="1"/>
  <c r="F108" i="1"/>
  <c r="K105" i="1"/>
  <c r="H102" i="1"/>
  <c r="G99" i="1"/>
  <c r="L96" i="1"/>
  <c r="N90" i="1"/>
  <c r="H86" i="1"/>
  <c r="R82" i="1"/>
  <c r="J80" i="1"/>
  <c r="I77" i="1"/>
  <c r="N74" i="1"/>
  <c r="L71" i="1"/>
  <c r="R67" i="1"/>
  <c r="N65" i="1"/>
  <c r="I62" i="1"/>
  <c r="M59" i="1"/>
  <c r="L56" i="1"/>
  <c r="M53" i="1"/>
  <c r="G51" i="1"/>
  <c r="G48" i="1"/>
  <c r="N45" i="1"/>
  <c r="Q42" i="1"/>
  <c r="L40" i="1"/>
  <c r="O37" i="1"/>
  <c r="J35" i="1"/>
  <c r="M32" i="1"/>
  <c r="J30" i="1"/>
  <c r="L25" i="1"/>
  <c r="Q22" i="1"/>
  <c r="N20" i="1"/>
  <c r="K18" i="1"/>
  <c r="P15" i="1"/>
  <c r="M13" i="1"/>
  <c r="R10" i="1"/>
  <c r="F9" i="1"/>
  <c r="M284" i="1"/>
  <c r="L180" i="1"/>
  <c r="P164" i="1"/>
  <c r="I158" i="1"/>
  <c r="M151" i="1"/>
  <c r="P145" i="1"/>
  <c r="N139" i="1"/>
  <c r="Q133" i="1"/>
  <c r="R122" i="1"/>
  <c r="H117" i="1"/>
  <c r="G102" i="1"/>
  <c r="J96" i="1"/>
  <c r="O89" i="1"/>
  <c r="Q82" i="1"/>
  <c r="H77" i="1"/>
  <c r="Q67" i="1"/>
  <c r="F62" i="1"/>
  <c r="K56" i="1"/>
  <c r="L53" i="1"/>
  <c r="O47" i="1"/>
  <c r="L42" i="1"/>
  <c r="N37" i="1"/>
  <c r="L32" i="1"/>
  <c r="N27" i="1"/>
  <c r="P22" i="1"/>
  <c r="R17" i="1"/>
  <c r="L13" i="1"/>
  <c r="N8" i="1"/>
  <c r="N283" i="1"/>
  <c r="G125" i="1"/>
  <c r="R101" i="1"/>
  <c r="M89" i="1"/>
  <c r="I79" i="1"/>
  <c r="L73" i="1"/>
  <c r="O67" i="1"/>
  <c r="Q61" i="1"/>
  <c r="I56" i="1"/>
  <c r="F50" i="1"/>
  <c r="O44" i="1"/>
  <c r="L39" i="1"/>
  <c r="F32" i="1"/>
  <c r="L27" i="1"/>
  <c r="N22" i="1"/>
  <c r="P17" i="1"/>
  <c r="R12" i="1"/>
  <c r="G8" i="1"/>
  <c r="F278" i="1"/>
  <c r="R273" i="1"/>
  <c r="G269" i="1"/>
  <c r="H265" i="1"/>
  <c r="H255" i="1"/>
  <c r="P237" i="1"/>
  <c r="P228" i="1"/>
  <c r="N223" i="1"/>
  <c r="H215" i="1"/>
  <c r="G207" i="1"/>
  <c r="F199" i="1"/>
  <c r="P186" i="1"/>
  <c r="I180" i="1"/>
  <c r="G173" i="1"/>
  <c r="G164" i="1"/>
  <c r="K157" i="1"/>
  <c r="N148" i="1"/>
  <c r="F142" i="1"/>
  <c r="I136" i="1"/>
  <c r="L130" i="1"/>
  <c r="O122" i="1"/>
  <c r="M116" i="1"/>
  <c r="I110" i="1"/>
  <c r="L104" i="1"/>
  <c r="J98" i="1"/>
  <c r="M92" i="1"/>
  <c r="Q85" i="1"/>
  <c r="Q76" i="1"/>
  <c r="O70" i="1"/>
  <c r="K64" i="1"/>
  <c r="O58" i="1"/>
  <c r="Q52" i="1"/>
  <c r="L47" i="1"/>
  <c r="I42" i="1"/>
  <c r="F37" i="1"/>
  <c r="R31" i="1"/>
  <c r="G27" i="1"/>
  <c r="O17" i="1"/>
  <c r="Q12" i="1"/>
  <c r="R277" i="1"/>
  <c r="O263" i="1"/>
  <c r="O254" i="1"/>
  <c r="R240" i="1"/>
  <c r="M223" i="1"/>
  <c r="G215" i="1"/>
  <c r="H202" i="1"/>
  <c r="I194" i="1"/>
  <c r="O186" i="1"/>
  <c r="H179" i="1"/>
  <c r="O176" i="1"/>
  <c r="I170" i="1"/>
  <c r="L163" i="1"/>
  <c r="I157" i="1"/>
  <c r="Q150" i="1"/>
  <c r="J139" i="1"/>
  <c r="N132" i="1"/>
  <c r="G119" i="1"/>
  <c r="J113" i="1"/>
  <c r="M107" i="1"/>
  <c r="Q100" i="1"/>
  <c r="I98" i="1"/>
  <c r="L92" i="1"/>
  <c r="Q84" i="1"/>
  <c r="F79" i="1"/>
  <c r="J73" i="1"/>
  <c r="M67" i="1"/>
  <c r="N284" i="1"/>
  <c r="H280" i="1"/>
  <c r="I274" i="1"/>
  <c r="L270" i="1"/>
  <c r="N265" i="1"/>
  <c r="I261" i="1"/>
  <c r="Q256" i="1"/>
  <c r="I252" i="1"/>
  <c r="I248" i="1"/>
  <c r="G243" i="1"/>
  <c r="G238" i="1"/>
  <c r="J234" i="1"/>
  <c r="N229" i="1"/>
  <c r="M225" i="1"/>
  <c r="Q220" i="1"/>
  <c r="N215" i="1"/>
  <c r="K212" i="1"/>
  <c r="M207" i="1"/>
  <c r="Q203" i="1"/>
  <c r="N199" i="1"/>
  <c r="J195" i="1"/>
  <c r="R191" i="1"/>
  <c r="G6" i="1"/>
  <c r="G280" i="1"/>
  <c r="H274" i="1"/>
  <c r="J269" i="1"/>
  <c r="K265" i="1"/>
  <c r="P260" i="1"/>
  <c r="P256" i="1"/>
  <c r="N251" i="1"/>
  <c r="P246" i="1"/>
  <c r="F243" i="1"/>
  <c r="F238" i="1"/>
  <c r="I234" i="1"/>
  <c r="M229" i="1"/>
  <c r="I224" i="1"/>
  <c r="P220" i="1"/>
  <c r="K215" i="1"/>
  <c r="L207" i="1"/>
  <c r="J203" i="1"/>
  <c r="K199" i="1"/>
  <c r="I195" i="1"/>
  <c r="N191" i="1"/>
  <c r="G187" i="1"/>
  <c r="I183" i="1"/>
  <c r="G177" i="1"/>
  <c r="J174" i="1"/>
  <c r="R170" i="1"/>
  <c r="I167" i="1"/>
  <c r="F161" i="1"/>
  <c r="Q154" i="1"/>
  <c r="R148" i="1"/>
  <c r="H143" i="1"/>
  <c r="L136" i="1"/>
  <c r="O130" i="1"/>
  <c r="G128" i="1"/>
  <c r="K119" i="1"/>
  <c r="O113" i="1"/>
  <c r="R107" i="1"/>
  <c r="O104" i="1"/>
  <c r="F99" i="1"/>
  <c r="Q92" i="1"/>
  <c r="G86" i="1"/>
  <c r="I80" i="1"/>
  <c r="N73" i="1"/>
  <c r="K71" i="1"/>
  <c r="I65" i="1"/>
  <c r="R58" i="1"/>
  <c r="F51" i="1"/>
  <c r="Q44" i="1"/>
  <c r="K40" i="1"/>
  <c r="I35" i="1"/>
  <c r="I30" i="1"/>
  <c r="K25" i="1"/>
  <c r="M20" i="1"/>
  <c r="O15" i="1"/>
  <c r="Q10" i="1"/>
  <c r="K278" i="1"/>
  <c r="F274" i="1"/>
  <c r="H269" i="1"/>
  <c r="I265" i="1"/>
  <c r="G260" i="1"/>
  <c r="K255" i="1"/>
  <c r="N246" i="1"/>
  <c r="Q237" i="1"/>
  <c r="L232" i="1"/>
  <c r="Q228" i="1"/>
  <c r="Q223" i="1"/>
  <c r="P219" i="1"/>
  <c r="I215" i="1"/>
  <c r="Q210" i="1"/>
  <c r="H207" i="1"/>
  <c r="P202" i="1"/>
  <c r="G199" i="1"/>
  <c r="K194" i="1"/>
  <c r="L190" i="1"/>
  <c r="Q186" i="1"/>
  <c r="G183" i="1"/>
  <c r="J180" i="1"/>
  <c r="Q176" i="1"/>
  <c r="H173" i="1"/>
  <c r="P170" i="1"/>
  <c r="F167" i="1"/>
  <c r="I164" i="1"/>
  <c r="Q160" i="1"/>
  <c r="M157" i="1"/>
  <c r="O154" i="1"/>
  <c r="K151" i="1"/>
  <c r="O148" i="1"/>
  <c r="G142" i="1"/>
  <c r="L139" i="1"/>
  <c r="J136" i="1"/>
  <c r="O133" i="1"/>
  <c r="M130" i="1"/>
  <c r="P122" i="1"/>
  <c r="I119" i="1"/>
  <c r="N116" i="1"/>
  <c r="L113" i="1"/>
  <c r="J110" i="1"/>
  <c r="O107" i="1"/>
  <c r="M104" i="1"/>
  <c r="K98" i="1"/>
  <c r="J95" i="1"/>
  <c r="N92" i="1"/>
  <c r="R85" i="1"/>
  <c r="O82" i="1"/>
  <c r="F77" i="1"/>
  <c r="Q70" i="1"/>
  <c r="L64" i="1"/>
  <c r="P58" i="1"/>
  <c r="R52" i="1"/>
  <c r="M47" i="1"/>
  <c r="J42" i="1"/>
  <c r="G37" i="1"/>
  <c r="J34" i="1"/>
  <c r="I25" i="1"/>
  <c r="K20" i="1"/>
  <c r="M15" i="1"/>
  <c r="O10" i="1"/>
  <c r="M283" i="1"/>
  <c r="F260" i="1"/>
  <c r="F251" i="1"/>
  <c r="K242" i="1"/>
  <c r="K232" i="1"/>
  <c r="O219" i="1"/>
  <c r="P210" i="1"/>
  <c r="M202" i="1"/>
  <c r="J194" i="1"/>
  <c r="I190" i="1"/>
  <c r="F183" i="1"/>
  <c r="P176" i="1"/>
  <c r="N170" i="1"/>
  <c r="R166" i="1"/>
  <c r="P160" i="1"/>
  <c r="N154" i="1"/>
  <c r="I151" i="1"/>
  <c r="G145" i="1"/>
  <c r="K139" i="1"/>
  <c r="F125" i="1"/>
  <c r="H119" i="1"/>
  <c r="K113" i="1"/>
  <c r="N107" i="1"/>
  <c r="Q101" i="1"/>
  <c r="I95" i="1"/>
  <c r="L89" i="1"/>
  <c r="N82" i="1"/>
  <c r="K73" i="1"/>
  <c r="N67" i="1"/>
  <c r="P61" i="1"/>
  <c r="H56" i="1"/>
  <c r="R49" i="1"/>
  <c r="K39" i="1"/>
  <c r="I34" i="1"/>
  <c r="H25" i="1"/>
  <c r="J20" i="1"/>
  <c r="L15" i="1"/>
  <c r="N10" i="1"/>
  <c r="F8" i="1"/>
  <c r="L283" i="1"/>
  <c r="Q273" i="1"/>
  <c r="M268" i="1"/>
  <c r="R259" i="1"/>
  <c r="R250" i="1"/>
  <c r="L246" i="1"/>
  <c r="L237" i="1"/>
  <c r="K228" i="1"/>
  <c r="Q218" i="1"/>
  <c r="O210" i="1"/>
  <c r="F207" i="1"/>
  <c r="P197" i="1"/>
  <c r="G190" i="1"/>
  <c r="R182" i="1"/>
  <c r="F173" i="1"/>
  <c r="Q166" i="1"/>
  <c r="O160" i="1"/>
  <c r="L154" i="1"/>
  <c r="O147" i="1"/>
  <c r="R141" i="1"/>
  <c r="H136" i="1"/>
  <c r="J130" i="1"/>
  <c r="J122" i="1"/>
  <c r="R115" i="1"/>
  <c r="H110" i="1"/>
  <c r="G104" i="1"/>
  <c r="G95" i="1"/>
  <c r="J89" i="1"/>
  <c r="M82" i="1"/>
  <c r="K76" i="1"/>
  <c r="H70" i="1"/>
  <c r="J64" i="1"/>
  <c r="I284" i="1"/>
  <c r="F280" i="1"/>
  <c r="G274" i="1"/>
  <c r="I269" i="1"/>
  <c r="J265" i="1"/>
  <c r="L260" i="1"/>
  <c r="K251" i="1"/>
  <c r="O246" i="1"/>
  <c r="P242" i="1"/>
  <c r="R237" i="1"/>
  <c r="H234" i="1"/>
  <c r="H229" i="1"/>
  <c r="R223" i="1"/>
  <c r="O220" i="1"/>
  <c r="J215" i="1"/>
  <c r="R211" i="1"/>
  <c r="K207" i="1"/>
  <c r="Q202" i="1"/>
  <c r="H199" i="1"/>
  <c r="H195" i="1"/>
  <c r="M191" i="1"/>
  <c r="F187" i="1"/>
  <c r="H183" i="1"/>
  <c r="K180" i="1"/>
  <c r="F177" i="1"/>
  <c r="I174" i="1"/>
  <c r="Q170" i="1"/>
  <c r="G167" i="1"/>
  <c r="O164" i="1"/>
  <c r="R160" i="1"/>
  <c r="H158" i="1"/>
  <c r="P154" i="1"/>
  <c r="L151" i="1"/>
  <c r="P148" i="1"/>
  <c r="O145" i="1"/>
  <c r="G143" i="1"/>
  <c r="K136" i="1"/>
  <c r="P133" i="1"/>
  <c r="N130" i="1"/>
  <c r="F128" i="1"/>
  <c r="Q122" i="1"/>
  <c r="J119" i="1"/>
  <c r="G117" i="1"/>
  <c r="M113" i="1"/>
  <c r="R110" i="1"/>
  <c r="Q107" i="1"/>
  <c r="N104" i="1"/>
  <c r="F102" i="1"/>
  <c r="R98" i="1"/>
  <c r="I96" i="1"/>
  <c r="P92" i="1"/>
  <c r="N89" i="1"/>
  <c r="F86" i="1"/>
  <c r="P82" i="1"/>
  <c r="H80" i="1"/>
  <c r="G77" i="1"/>
  <c r="M73" i="1"/>
  <c r="I71" i="1"/>
  <c r="P67" i="1"/>
  <c r="H65" i="1"/>
  <c r="R61" i="1"/>
  <c r="Q58" i="1"/>
  <c r="J56" i="1"/>
  <c r="K53" i="1"/>
  <c r="R50" i="1"/>
  <c r="N47" i="1"/>
  <c r="P44" i="1"/>
  <c r="K42" i="1"/>
  <c r="M39" i="1"/>
  <c r="H37" i="1"/>
  <c r="H35" i="1"/>
  <c r="K32" i="1"/>
  <c r="H30" i="1"/>
  <c r="J25" i="1"/>
  <c r="L20" i="1"/>
  <c r="Q17" i="1"/>
  <c r="N15" i="1"/>
  <c r="F13" i="1"/>
  <c r="P10" i="1"/>
  <c r="M8" i="1"/>
  <c r="G79" i="1"/>
  <c r="J283" i="1"/>
  <c r="J275" i="1"/>
  <c r="L266" i="1"/>
  <c r="Q257" i="1"/>
  <c r="K249" i="1"/>
  <c r="N243" i="1"/>
  <c r="M235" i="1"/>
  <c r="R226" i="1"/>
  <c r="L218" i="1"/>
  <c r="F212" i="1"/>
  <c r="F205" i="1"/>
  <c r="H197" i="1"/>
  <c r="Q189" i="1"/>
  <c r="Q182" i="1"/>
  <c r="L178" i="1"/>
  <c r="L172" i="1"/>
  <c r="L166" i="1"/>
  <c r="M160" i="1"/>
  <c r="I155" i="1"/>
  <c r="K149" i="1"/>
  <c r="H138" i="1"/>
  <c r="M132" i="1"/>
  <c r="L128" i="1"/>
  <c r="J121" i="1"/>
  <c r="O115" i="1"/>
  <c r="G110" i="1"/>
  <c r="R105" i="1"/>
  <c r="K100" i="1"/>
  <c r="P94" i="1"/>
  <c r="H89" i="1"/>
  <c r="F84" i="1"/>
  <c r="L78" i="1"/>
  <c r="Q72" i="1"/>
  <c r="I67" i="1"/>
  <c r="O61" i="1"/>
  <c r="Q56" i="1"/>
  <c r="N52" i="1"/>
  <c r="K48" i="1"/>
  <c r="H44" i="1"/>
  <c r="J39" i="1"/>
  <c r="O35" i="1"/>
  <c r="O31" i="1"/>
  <c r="J28" i="1"/>
  <c r="G24" i="1"/>
  <c r="I20" i="1"/>
  <c r="Q16" i="1"/>
  <c r="J12" i="1"/>
  <c r="I9" i="1"/>
  <c r="F283" i="1"/>
  <c r="K274" i="1"/>
  <c r="I266" i="1"/>
  <c r="P257" i="1"/>
  <c r="Q240" i="1"/>
  <c r="M234" i="1"/>
  <c r="J226" i="1"/>
  <c r="O217" i="1"/>
  <c r="L210" i="1"/>
  <c r="R204" i="1"/>
  <c r="R196" i="1"/>
  <c r="P189" i="1"/>
  <c r="P182" i="1"/>
  <c r="I178" i="1"/>
  <c r="K172" i="1"/>
  <c r="K166" i="1"/>
  <c r="L160" i="1"/>
  <c r="K154" i="1"/>
  <c r="J149" i="1"/>
  <c r="N143" i="1"/>
  <c r="G138" i="1"/>
  <c r="L132" i="1"/>
  <c r="K128" i="1"/>
  <c r="P120" i="1"/>
  <c r="I115" i="1"/>
  <c r="N109" i="1"/>
  <c r="Q105" i="1"/>
  <c r="J100" i="1"/>
  <c r="O94" i="1"/>
  <c r="G89" i="1"/>
  <c r="L82" i="1"/>
  <c r="L77" i="1"/>
  <c r="Q71" i="1"/>
  <c r="J66" i="1"/>
  <c r="N61" i="1"/>
  <c r="P56" i="1"/>
  <c r="M52" i="1"/>
  <c r="I48" i="1"/>
  <c r="P43" i="1"/>
  <c r="I39" i="1"/>
  <c r="N35" i="1"/>
  <c r="N31" i="1"/>
  <c r="I28" i="1"/>
  <c r="F24" i="1"/>
  <c r="L19" i="1"/>
  <c r="K16" i="1"/>
  <c r="I12" i="1"/>
  <c r="H9" i="1"/>
  <c r="Q204" i="1"/>
  <c r="K153" i="1"/>
  <c r="K132" i="1"/>
  <c r="O120" i="1"/>
  <c r="M109" i="1"/>
  <c r="K19" i="1"/>
  <c r="F16" i="1"/>
  <c r="H12" i="1"/>
  <c r="R7" i="1"/>
  <c r="G165" i="1"/>
  <c r="L93" i="1"/>
  <c r="I81" i="1"/>
  <c r="G70" i="1"/>
  <c r="K60" i="1"/>
  <c r="K51" i="1"/>
  <c r="J46" i="1"/>
  <c r="R38" i="1"/>
  <c r="G34" i="1"/>
  <c r="P26" i="1"/>
  <c r="H19" i="1"/>
  <c r="R11" i="1"/>
  <c r="L280" i="1"/>
  <c r="I263" i="1"/>
  <c r="L248" i="1"/>
  <c r="J240" i="1"/>
  <c r="I217" i="1"/>
  <c r="O201" i="1"/>
  <c r="F188" i="1"/>
  <c r="J175" i="1"/>
  <c r="K163" i="1"/>
  <c r="F153" i="1"/>
  <c r="P141" i="1"/>
  <c r="F132" i="1"/>
  <c r="R118" i="1"/>
  <c r="M103" i="1"/>
  <c r="K92" i="1"/>
  <c r="H81" i="1"/>
  <c r="R69" i="1"/>
  <c r="O282" i="1"/>
  <c r="N273" i="1"/>
  <c r="I249" i="1"/>
  <c r="P240" i="1"/>
  <c r="L234" i="1"/>
  <c r="F226" i="1"/>
  <c r="N217" i="1"/>
  <c r="R209" i="1"/>
  <c r="Q196" i="1"/>
  <c r="M189" i="1"/>
  <c r="O182" i="1"/>
  <c r="N176" i="1"/>
  <c r="J171" i="1"/>
  <c r="J165" i="1"/>
  <c r="K159" i="1"/>
  <c r="I149" i="1"/>
  <c r="R124" i="1"/>
  <c r="F104" i="1"/>
  <c r="P99" i="1"/>
  <c r="I94" i="1"/>
  <c r="N87" i="1"/>
  <c r="G82" i="1"/>
  <c r="K77" i="1"/>
  <c r="P71" i="1"/>
  <c r="I66" i="1"/>
  <c r="N60" i="1"/>
  <c r="O56" i="1"/>
  <c r="N51" i="1"/>
  <c r="K47" i="1"/>
  <c r="O43" i="1"/>
  <c r="H39" i="1"/>
  <c r="M35" i="1"/>
  <c r="H31" i="1"/>
  <c r="F27" i="1"/>
  <c r="R23" i="1"/>
  <c r="J281" i="1"/>
  <c r="J272" i="1"/>
  <c r="P265" i="1"/>
  <c r="H249" i="1"/>
  <c r="O240" i="1"/>
  <c r="R225" i="1"/>
  <c r="L217" i="1"/>
  <c r="Q209" i="1"/>
  <c r="G202" i="1"/>
  <c r="K196" i="1"/>
  <c r="G189" i="1"/>
  <c r="H182" i="1"/>
  <c r="I176" i="1"/>
  <c r="I171" i="1"/>
  <c r="I165" i="1"/>
  <c r="J159" i="1"/>
  <c r="J153" i="1"/>
  <c r="M147" i="1"/>
  <c r="L143" i="1"/>
  <c r="R137" i="1"/>
  <c r="J132" i="1"/>
  <c r="P124" i="1"/>
  <c r="N120" i="1"/>
  <c r="G115" i="1"/>
  <c r="L109" i="1"/>
  <c r="R103" i="1"/>
  <c r="O99" i="1"/>
  <c r="H94" i="1"/>
  <c r="M87" i="1"/>
  <c r="F82" i="1"/>
  <c r="J76" i="1"/>
  <c r="O71" i="1"/>
  <c r="H66" i="1"/>
  <c r="M60" i="1"/>
  <c r="N56" i="1"/>
  <c r="M51" i="1"/>
  <c r="J47" i="1"/>
  <c r="H43" i="1"/>
  <c r="G39" i="1"/>
  <c r="L35" i="1"/>
  <c r="P30" i="1"/>
  <c r="R26" i="1"/>
  <c r="Q23" i="1"/>
  <c r="J19" i="1"/>
  <c r="R15" i="1"/>
  <c r="G12" i="1"/>
  <c r="Q7" i="1"/>
  <c r="F281" i="1"/>
  <c r="I272" i="1"/>
  <c r="N263" i="1"/>
  <c r="G249" i="1"/>
  <c r="N240" i="1"/>
  <c r="F232" i="1"/>
  <c r="Q225" i="1"/>
  <c r="K217" i="1"/>
  <c r="P209" i="1"/>
  <c r="Q201" i="1"/>
  <c r="J196" i="1"/>
  <c r="Q188" i="1"/>
  <c r="F182" i="1"/>
  <c r="H176" i="1"/>
  <c r="H170" i="1"/>
  <c r="H165" i="1"/>
  <c r="I159" i="1"/>
  <c r="I153" i="1"/>
  <c r="L147" i="1"/>
  <c r="K143" i="1"/>
  <c r="Q137" i="1"/>
  <c r="I132" i="1"/>
  <c r="N124" i="1"/>
  <c r="M120" i="1"/>
  <c r="F115" i="1"/>
  <c r="K109" i="1"/>
  <c r="O103" i="1"/>
  <c r="H98" i="1"/>
  <c r="M93" i="1"/>
  <c r="R86" i="1"/>
  <c r="J81" i="1"/>
  <c r="P75" i="1"/>
  <c r="N71" i="1"/>
  <c r="F66" i="1"/>
  <c r="L60" i="1"/>
  <c r="I55" i="1"/>
  <c r="L51" i="1"/>
  <c r="K46" i="1"/>
  <c r="G43" i="1"/>
  <c r="F39" i="1"/>
  <c r="H34" i="1"/>
  <c r="Q26" i="1"/>
  <c r="P23" i="1"/>
  <c r="I19" i="1"/>
  <c r="K15" i="1"/>
  <c r="F12" i="1"/>
  <c r="P7" i="1"/>
  <c r="R280" i="1"/>
  <c r="R271" i="1"/>
  <c r="J263" i="1"/>
  <c r="Q248" i="1"/>
  <c r="K240" i="1"/>
  <c r="L223" i="1"/>
  <c r="J217" i="1"/>
  <c r="L209" i="1"/>
  <c r="P201" i="1"/>
  <c r="G194" i="1"/>
  <c r="G188" i="1"/>
  <c r="L181" i="1"/>
  <c r="K175" i="1"/>
  <c r="L169" i="1"/>
  <c r="H159" i="1"/>
  <c r="G153" i="1"/>
  <c r="K147" i="1"/>
  <c r="Q141" i="1"/>
  <c r="O137" i="1"/>
  <c r="H132" i="1"/>
  <c r="M124" i="1"/>
  <c r="F119" i="1"/>
  <c r="R114" i="1"/>
  <c r="J109" i="1"/>
  <c r="N103" i="1"/>
  <c r="G98" i="1"/>
  <c r="Q86" i="1"/>
  <c r="N75" i="1"/>
  <c r="R65" i="1"/>
  <c r="H55" i="1"/>
  <c r="F43" i="1"/>
  <c r="N30" i="1"/>
  <c r="K23" i="1"/>
  <c r="J15" i="1"/>
  <c r="K7" i="1"/>
  <c r="O271" i="1"/>
  <c r="K223" i="1"/>
  <c r="I209" i="1"/>
  <c r="F194" i="1"/>
  <c r="K181" i="1"/>
  <c r="J169" i="1"/>
  <c r="G159" i="1"/>
  <c r="J147" i="1"/>
  <c r="N137" i="1"/>
  <c r="L124" i="1"/>
  <c r="P114" i="1"/>
  <c r="I109" i="1"/>
  <c r="F98" i="1"/>
  <c r="O86" i="1"/>
  <c r="M75" i="1"/>
  <c r="P65" i="1"/>
  <c r="J60" i="1"/>
  <c r="G55" i="1"/>
  <c r="J51" i="1"/>
  <c r="I46" i="1"/>
  <c r="G42" i="1"/>
  <c r="M38" i="1"/>
  <c r="F34" i="1"/>
  <c r="M30" i="1"/>
  <c r="O26" i="1"/>
  <c r="H22" i="1"/>
  <c r="G19" i="1"/>
  <c r="M14" i="1"/>
  <c r="L11" i="1"/>
  <c r="J7" i="1"/>
  <c r="K280" i="1"/>
  <c r="M254" i="1"/>
  <c r="K248" i="1"/>
  <c r="R239" i="1"/>
  <c r="J280" i="1"/>
  <c r="O267" i="1"/>
  <c r="N252" i="1"/>
  <c r="H221" i="1"/>
  <c r="P206" i="1"/>
  <c r="O192" i="1"/>
  <c r="N184" i="1"/>
  <c r="O172" i="1"/>
  <c r="M162" i="1"/>
  <c r="P152" i="1"/>
  <c r="O141" i="1"/>
  <c r="G122" i="1"/>
  <c r="G112" i="1"/>
  <c r="N102" i="1"/>
  <c r="Q94" i="1"/>
  <c r="I84" i="1"/>
  <c r="P74" i="1"/>
  <c r="P63" i="1"/>
  <c r="F55" i="1"/>
  <c r="F49" i="1"/>
  <c r="Q40" i="1"/>
  <c r="O33" i="1"/>
  <c r="Q25" i="1"/>
  <c r="P20" i="1"/>
  <c r="F14" i="1"/>
  <c r="M6" i="1"/>
  <c r="P276" i="1"/>
  <c r="I205" i="1"/>
  <c r="G179" i="1"/>
  <c r="N150" i="1"/>
  <c r="Q131" i="1"/>
  <c r="Q111" i="1"/>
  <c r="I91" i="1"/>
  <c r="F73" i="1"/>
  <c r="P54" i="1"/>
  <c r="N40" i="1"/>
  <c r="N25" i="1"/>
  <c r="O276" i="1"/>
  <c r="O245" i="1"/>
  <c r="F215" i="1"/>
  <c r="J192" i="1"/>
  <c r="F179" i="1"/>
  <c r="N160" i="1"/>
  <c r="R140" i="1"/>
  <c r="Q118" i="1"/>
  <c r="O100" i="1"/>
  <c r="O80" i="1"/>
  <c r="J63" i="1"/>
  <c r="F46" i="1"/>
  <c r="Q31" i="1"/>
  <c r="N17" i="1"/>
  <c r="N276" i="1"/>
  <c r="R229" i="1"/>
  <c r="G205" i="1"/>
  <c r="R178" i="1"/>
  <c r="K150" i="1"/>
  <c r="P118" i="1"/>
  <c r="N100" i="1"/>
  <c r="Q69" i="1"/>
  <c r="R37" i="1"/>
  <c r="I17" i="1"/>
  <c r="M276" i="1"/>
  <c r="Q229" i="1"/>
  <c r="O214" i="1"/>
  <c r="F190" i="1"/>
  <c r="H157" i="1"/>
  <c r="J140" i="1"/>
  <c r="I108" i="1"/>
  <c r="R78" i="1"/>
  <c r="H54" i="1"/>
  <c r="L30" i="1"/>
  <c r="K10" i="1"/>
  <c r="M259" i="1"/>
  <c r="J228" i="1"/>
  <c r="G200" i="1"/>
  <c r="L168" i="1"/>
  <c r="I139" i="1"/>
  <c r="H108" i="1"/>
  <c r="Q78" i="1"/>
  <c r="P52" i="1"/>
  <c r="I29" i="1"/>
  <c r="N9" i="1"/>
  <c r="F244" i="1"/>
  <c r="F200" i="1"/>
  <c r="K168" i="1"/>
  <c r="I138" i="1"/>
  <c r="K107" i="1"/>
  <c r="P78" i="1"/>
  <c r="O52" i="1"/>
  <c r="Q277" i="1"/>
  <c r="G263" i="1"/>
  <c r="Q250" i="1"/>
  <c r="N235" i="1"/>
  <c r="G221" i="1"/>
  <c r="K205" i="1"/>
  <c r="N192" i="1"/>
  <c r="J181" i="1"/>
  <c r="N172" i="1"/>
  <c r="L162" i="1"/>
  <c r="P150" i="1"/>
  <c r="N141" i="1"/>
  <c r="L134" i="1"/>
  <c r="M121" i="1"/>
  <c r="F112" i="1"/>
  <c r="K102" i="1"/>
  <c r="K91" i="1"/>
  <c r="H84" i="1"/>
  <c r="H73" i="1"/>
  <c r="O63" i="1"/>
  <c r="R54" i="1"/>
  <c r="R48" i="1"/>
  <c r="P40" i="1"/>
  <c r="I33" i="1"/>
  <c r="P25" i="1"/>
  <c r="F19" i="1"/>
  <c r="P12" i="1"/>
  <c r="G181" i="1"/>
  <c r="Q261" i="1"/>
  <c r="P168" i="1"/>
  <c r="Q129" i="1"/>
  <c r="M80" i="1"/>
  <c r="I54" i="1"/>
  <c r="P31" i="1"/>
  <c r="L10" i="1"/>
  <c r="H245" i="1"/>
  <c r="L201" i="1"/>
  <c r="Q178" i="1"/>
  <c r="L149" i="1"/>
  <c r="O118" i="1"/>
  <c r="F91" i="1"/>
  <c r="K62" i="1"/>
  <c r="Q37" i="1"/>
  <c r="H17" i="1"/>
  <c r="I244" i="1"/>
  <c r="R189" i="1"/>
  <c r="P156" i="1"/>
  <c r="G129" i="1"/>
  <c r="R90" i="1"/>
  <c r="I60" i="1"/>
  <c r="R36" i="1"/>
  <c r="G17" i="1"/>
  <c r="J259" i="1"/>
  <c r="H227" i="1"/>
  <c r="K213" i="1"/>
  <c r="O178" i="1"/>
  <c r="O156" i="1"/>
  <c r="F129" i="1"/>
  <c r="F97" i="1"/>
  <c r="I69" i="1"/>
  <c r="K44" i="1"/>
  <c r="P277" i="1"/>
  <c r="F263" i="1"/>
  <c r="K246" i="1"/>
  <c r="P218" i="1"/>
  <c r="J205" i="1"/>
  <c r="L192" i="1"/>
  <c r="M172" i="1"/>
  <c r="J162" i="1"/>
  <c r="R131" i="1"/>
  <c r="L121" i="1"/>
  <c r="R111" i="1"/>
  <c r="J102" i="1"/>
  <c r="J91" i="1"/>
  <c r="G84" i="1"/>
  <c r="G73" i="1"/>
  <c r="N63" i="1"/>
  <c r="Q54" i="1"/>
  <c r="H46" i="1"/>
  <c r="O40" i="1"/>
  <c r="H33" i="1"/>
  <c r="R18" i="1"/>
  <c r="O12" i="1"/>
  <c r="R262" i="1"/>
  <c r="G246" i="1"/>
  <c r="O218" i="1"/>
  <c r="K192" i="1"/>
  <c r="I169" i="1"/>
  <c r="I162" i="1"/>
  <c r="F141" i="1"/>
  <c r="K121" i="1"/>
  <c r="P100" i="1"/>
  <c r="G81" i="1"/>
  <c r="M63" i="1"/>
  <c r="G46" i="1"/>
  <c r="Q18" i="1"/>
  <c r="G11" i="1"/>
  <c r="R261" i="1"/>
  <c r="H205" i="1"/>
  <c r="H169" i="1"/>
  <c r="I130" i="1"/>
  <c r="P111" i="1"/>
  <c r="H91" i="1"/>
  <c r="R72" i="1"/>
  <c r="O54" i="1"/>
  <c r="K38" i="1"/>
  <c r="K24" i="1"/>
  <c r="M10" i="1"/>
  <c r="I245" i="1"/>
  <c r="R214" i="1"/>
  <c r="I192" i="1"/>
  <c r="F159" i="1"/>
  <c r="K140" i="1"/>
  <c r="G91" i="1"/>
  <c r="L62" i="1"/>
  <c r="R45" i="1"/>
  <c r="J24" i="1"/>
  <c r="N259" i="1"/>
  <c r="O168" i="1"/>
  <c r="P129" i="1"/>
  <c r="M100" i="1"/>
  <c r="K69" i="1"/>
  <c r="P45" i="1"/>
  <c r="I24" i="1"/>
  <c r="K276" i="1"/>
  <c r="L213" i="1"/>
  <c r="P178" i="1"/>
  <c r="I147" i="1"/>
  <c r="L100" i="1"/>
  <c r="J69" i="1"/>
  <c r="L44" i="1"/>
  <c r="H24" i="1"/>
  <c r="L271" i="1"/>
  <c r="N186" i="1"/>
  <c r="H147" i="1"/>
  <c r="Q90" i="1"/>
  <c r="H60" i="1"/>
  <c r="K271" i="1"/>
  <c r="N239" i="1"/>
  <c r="H209" i="1"/>
  <c r="R184" i="1"/>
  <c r="M156" i="1"/>
  <c r="L135" i="1"/>
  <c r="I89" i="1"/>
  <c r="F69" i="1"/>
  <c r="N49" i="1"/>
  <c r="Q33" i="1"/>
  <c r="R20" i="1"/>
  <c r="G7" i="1"/>
  <c r="K156" i="1"/>
  <c r="F17" i="1"/>
  <c r="I268" i="1"/>
  <c r="R199" i="1"/>
  <c r="H175" i="1"/>
  <c r="J155" i="1"/>
  <c r="N134" i="1"/>
  <c r="K106" i="1"/>
  <c r="O84" i="1"/>
  <c r="I64" i="1"/>
  <c r="J44" i="1"/>
  <c r="H268" i="1"/>
  <c r="P199" i="1"/>
  <c r="P174" i="1"/>
  <c r="R128" i="1"/>
  <c r="N84" i="1"/>
  <c r="Q63" i="1"/>
  <c r="F29" i="1"/>
  <c r="R267" i="1"/>
  <c r="M174" i="1"/>
  <c r="Q152" i="1"/>
  <c r="Q128" i="1"/>
  <c r="M84" i="1"/>
  <c r="F42" i="1"/>
  <c r="K14" i="1"/>
  <c r="Q267" i="1"/>
  <c r="M197" i="1"/>
  <c r="R172" i="1"/>
  <c r="K124" i="1"/>
  <c r="K84" i="1"/>
  <c r="M41" i="1"/>
  <c r="J14" i="1"/>
  <c r="I185" i="1"/>
  <c r="O96" i="1"/>
  <c r="J36" i="1"/>
  <c r="R212" i="1"/>
  <c r="O162" i="1"/>
  <c r="Q115" i="1"/>
  <c r="Q49" i="1"/>
  <c r="G185" i="1"/>
  <c r="F95" i="1"/>
  <c r="P35" i="1"/>
  <c r="M212" i="1"/>
  <c r="Q135" i="1"/>
  <c r="G69" i="1"/>
  <c r="R33" i="1"/>
  <c r="J271" i="1"/>
  <c r="K237" i="1"/>
  <c r="F208" i="1"/>
  <c r="L156" i="1"/>
  <c r="K135" i="1"/>
  <c r="G113" i="1"/>
  <c r="N86" i="1"/>
  <c r="L67" i="1"/>
  <c r="L49" i="1"/>
  <c r="P33" i="1"/>
  <c r="Q20" i="1"/>
  <c r="F7" i="1"/>
  <c r="K49" i="1"/>
  <c r="N197" i="1"/>
  <c r="H106" i="1"/>
  <c r="G60" i="1"/>
  <c r="R28" i="1"/>
  <c r="F227" i="1"/>
  <c r="G147" i="1"/>
  <c r="G106" i="1"/>
  <c r="I58" i="1"/>
  <c r="Q28" i="1"/>
  <c r="J213" i="1"/>
  <c r="P143" i="1"/>
  <c r="I51" i="1"/>
  <c r="K9" i="1"/>
  <c r="H185" i="1"/>
  <c r="N96" i="1"/>
  <c r="Q35" i="1"/>
  <c r="R243" i="1"/>
  <c r="R135" i="1"/>
  <c r="H69" i="1"/>
  <c r="P21" i="1"/>
  <c r="F185" i="1"/>
  <c r="R94" i="1"/>
  <c r="J21" i="1"/>
  <c r="H271" i="1"/>
  <c r="F237" i="1"/>
  <c r="O207" i="1"/>
  <c r="I175" i="1"/>
  <c r="P134" i="1"/>
  <c r="M106" i="1"/>
  <c r="P84" i="1"/>
  <c r="J67" i="1"/>
  <c r="H29" i="1"/>
  <c r="M236" i="1"/>
  <c r="R16" i="1"/>
  <c r="P235" i="1"/>
  <c r="R152" i="1"/>
  <c r="J106" i="1"/>
  <c r="I44" i="1"/>
  <c r="L14" i="1"/>
  <c r="G227" i="1"/>
  <c r="J9" i="1"/>
  <c r="N162" i="1"/>
  <c r="N156" i="1"/>
  <c r="H7" i="1"/>
  <c r="N254" i="1"/>
  <c r="J223" i="1"/>
  <c r="J197" i="1"/>
  <c r="Q172" i="1"/>
  <c r="O146" i="1"/>
  <c r="J124" i="1"/>
  <c r="F106" i="1"/>
  <c r="O78" i="1"/>
  <c r="G58" i="1"/>
  <c r="H41" i="1"/>
  <c r="P28" i="1"/>
  <c r="I14" i="1"/>
  <c r="Q144" i="1"/>
  <c r="I221" i="1"/>
  <c r="P144" i="1"/>
  <c r="P96" i="1"/>
  <c r="L254" i="1"/>
  <c r="G223" i="1"/>
  <c r="I197" i="1"/>
  <c r="O166" i="1"/>
  <c r="N146" i="1"/>
  <c r="I124" i="1"/>
  <c r="O102" i="1"/>
  <c r="N78" i="1"/>
  <c r="F58" i="1"/>
  <c r="G41" i="1"/>
  <c r="O28" i="1"/>
  <c r="H14" i="1"/>
  <c r="K254" i="1"/>
  <c r="F223" i="1"/>
  <c r="R193" i="1"/>
  <c r="N166" i="1"/>
  <c r="R144" i="1"/>
  <c r="I123" i="1"/>
  <c r="R96" i="1"/>
  <c r="M78" i="1"/>
  <c r="R57" i="1"/>
  <c r="F41" i="1"/>
  <c r="I26" i="1"/>
  <c r="G14" i="1"/>
  <c r="J254" i="1"/>
  <c r="J221" i="1"/>
  <c r="K185" i="1"/>
  <c r="M166" i="1"/>
  <c r="H123" i="1"/>
  <c r="Q96" i="1"/>
  <c r="L75" i="1"/>
  <c r="Q57" i="1"/>
  <c r="Q36" i="1"/>
  <c r="G22" i="1"/>
  <c r="M9" i="1"/>
  <c r="Q253" i="1"/>
  <c r="J185" i="1"/>
  <c r="J163" i="1"/>
  <c r="M117" i="1"/>
  <c r="F75" i="1"/>
  <c r="P57" i="1"/>
  <c r="P36" i="1"/>
  <c r="F22" i="1"/>
  <c r="L9" i="1"/>
  <c r="P253" i="1"/>
  <c r="I163" i="1"/>
  <c r="L117" i="1"/>
  <c r="R74" i="1"/>
  <c r="R21" i="1"/>
  <c r="O252" i="1"/>
  <c r="G136" i="1"/>
  <c r="Q74" i="1"/>
  <c r="Q21" i="1"/>
  <c r="O212" i="1"/>
  <c r="P115" i="1"/>
  <c r="P49" i="1"/>
  <c r="I7" i="1"/>
  <c r="Q239" i="1"/>
  <c r="I113" i="1"/>
  <c r="O49" i="1"/>
  <c r="S7" i="1"/>
  <c r="D144" i="1" l="1"/>
  <c r="D281" i="1"/>
  <c r="D280" i="1"/>
  <c r="D6" i="1"/>
  <c r="D189" i="1"/>
  <c r="D255" i="1"/>
  <c r="D11" i="1"/>
  <c r="D256" i="1"/>
  <c r="D38" i="1"/>
  <c r="D123" i="1"/>
  <c r="D8" i="1"/>
  <c r="D89" i="1"/>
  <c r="D29" i="1"/>
  <c r="D55" i="1"/>
  <c r="D82" i="1"/>
  <c r="D81" i="1"/>
  <c r="D90" i="1"/>
  <c r="D12" i="1"/>
  <c r="D9" i="1"/>
  <c r="D51" i="1"/>
  <c r="D18" i="1"/>
  <c r="D47" i="1"/>
  <c r="D73" i="1"/>
  <c r="D72" i="1"/>
  <c r="D80" i="1"/>
  <c r="D124" i="1"/>
  <c r="D37" i="1"/>
  <c r="D62" i="1"/>
  <c r="D61" i="1"/>
  <c r="D71" i="1"/>
  <c r="D22" i="1"/>
  <c r="D113" i="1"/>
  <c r="D122" i="1"/>
  <c r="D105" i="1"/>
  <c r="D27" i="1"/>
  <c r="D54" i="1"/>
  <c r="D53" i="1"/>
  <c r="D60" i="1"/>
  <c r="D34" i="1"/>
  <c r="D74" i="1"/>
  <c r="D39" i="1"/>
  <c r="D104" i="1"/>
  <c r="D112" i="1"/>
  <c r="D43" i="1"/>
  <c r="D17" i="1"/>
  <c r="D46" i="1"/>
  <c r="D45" i="1"/>
  <c r="D52" i="1"/>
  <c r="D96" i="1"/>
  <c r="D103" i="1"/>
  <c r="D133" i="1"/>
  <c r="D36" i="1"/>
  <c r="D35" i="1"/>
  <c r="D44" i="1"/>
  <c r="D67" i="1"/>
  <c r="D87" i="1"/>
  <c r="D95" i="1"/>
  <c r="D120" i="1"/>
  <c r="D97" i="1"/>
  <c r="D25" i="1"/>
  <c r="D24" i="1"/>
  <c r="D14" i="1"/>
  <c r="D106" i="1"/>
  <c r="D78" i="1"/>
  <c r="D85" i="1"/>
  <c r="D111" i="1"/>
  <c r="D59" i="1"/>
  <c r="D16" i="1"/>
  <c r="D15" i="1"/>
  <c r="D134" i="1"/>
  <c r="D119" i="1"/>
  <c r="D69" i="1"/>
  <c r="D77" i="1"/>
  <c r="D102" i="1"/>
  <c r="D131" i="1"/>
  <c r="D70" i="1"/>
  <c r="D58" i="1"/>
  <c r="D68" i="1"/>
  <c r="D94" i="1"/>
  <c r="D118" i="1"/>
  <c r="D50" i="1"/>
  <c r="D57" i="1"/>
  <c r="D84" i="1"/>
  <c r="D110" i="1"/>
  <c r="D28" i="1"/>
  <c r="D132" i="1"/>
  <c r="D86" i="1"/>
  <c r="D42" i="1"/>
  <c r="D49" i="1"/>
  <c r="D76" i="1"/>
  <c r="D101" i="1"/>
  <c r="D130" i="1"/>
  <c r="D129" i="1"/>
  <c r="D125" i="1"/>
  <c r="D31" i="1"/>
  <c r="D41" i="1"/>
  <c r="D64" i="1"/>
  <c r="D93" i="1"/>
  <c r="D117" i="1"/>
  <c r="D116" i="1"/>
  <c r="D128" i="1"/>
  <c r="D79" i="1"/>
  <c r="D21" i="1"/>
  <c r="D20" i="1"/>
  <c r="D56" i="1"/>
  <c r="D83" i="1"/>
  <c r="D109" i="1"/>
  <c r="D108" i="1"/>
  <c r="D115" i="1"/>
  <c r="D65" i="1"/>
  <c r="D66" i="1"/>
  <c r="D10" i="1"/>
  <c r="D19" i="1"/>
  <c r="D48" i="1"/>
  <c r="D75" i="1"/>
  <c r="D100" i="1"/>
  <c r="D99" i="1"/>
  <c r="D107" i="1"/>
  <c r="D40" i="1"/>
  <c r="D121" i="1"/>
  <c r="D32" i="1"/>
  <c r="D114" i="1"/>
  <c r="D63" i="1"/>
  <c r="D92" i="1"/>
  <c r="D91" i="1"/>
  <c r="D98" i="1"/>
  <c r="D7" i="1"/>
  <c r="D26" i="1"/>
  <c r="D33" i="1"/>
  <c r="D271" i="1"/>
  <c r="D257" i="1"/>
  <c r="D203" i="1"/>
  <c r="D156" i="1"/>
  <c r="D229" i="1"/>
  <c r="D219" i="1"/>
  <c r="D182" i="1"/>
  <c r="D223" i="1"/>
  <c r="D267" i="1"/>
  <c r="D285" i="1"/>
  <c r="D238" i="1"/>
  <c r="D164" i="1"/>
  <c r="D138" i="1"/>
  <c r="D169" i="1"/>
  <c r="D275" i="1"/>
  <c r="D185" i="1"/>
  <c r="D245" i="1"/>
  <c r="D242" i="1"/>
  <c r="D201" i="1"/>
  <c r="D174" i="1"/>
  <c r="D274" i="1"/>
  <c r="D188" i="1"/>
  <c r="D251" i="1"/>
  <c r="D208" i="1"/>
  <c r="D204" i="1"/>
  <c r="D198" i="1"/>
  <c r="D259" i="1"/>
  <c r="D200" i="1"/>
  <c r="D207" i="1"/>
  <c r="D262" i="1"/>
  <c r="D221" i="1"/>
  <c r="D163" i="1"/>
  <c r="D136" i="1"/>
  <c r="D228" i="1"/>
  <c r="D276" i="1"/>
  <c r="D224" i="1"/>
  <c r="D187" i="1"/>
  <c r="D181" i="1"/>
  <c r="D225" i="1"/>
  <c r="D154" i="1"/>
  <c r="D226" i="1"/>
  <c r="D177" i="1"/>
  <c r="D277" i="1"/>
  <c r="D252" i="1"/>
  <c r="D243" i="1"/>
  <c r="D145" i="1"/>
  <c r="D162" i="1"/>
  <c r="D193" i="1"/>
  <c r="D172" i="1"/>
  <c r="D183" i="1"/>
  <c r="D205" i="1"/>
  <c r="D247" i="1"/>
  <c r="D268" i="1"/>
  <c r="D135" i="1"/>
  <c r="D153" i="1"/>
  <c r="D192" i="1"/>
  <c r="D137" i="1"/>
  <c r="D170" i="1"/>
  <c r="D263" i="1"/>
  <c r="D211" i="1"/>
  <c r="D236" i="1"/>
  <c r="D161" i="1"/>
  <c r="D155" i="1"/>
  <c r="D246" i="1"/>
  <c r="D202" i="1"/>
  <c r="D249" i="1"/>
  <c r="D194" i="1"/>
  <c r="D213" i="1"/>
  <c r="D176" i="1"/>
  <c r="D171" i="1"/>
  <c r="D239" i="1"/>
  <c r="D253" i="1"/>
  <c r="D227" i="1"/>
  <c r="D152" i="1"/>
  <c r="D168" i="1"/>
  <c r="D260" i="1"/>
  <c r="D197" i="1"/>
  <c r="D186" i="1"/>
  <c r="D269" i="1"/>
  <c r="D143" i="1"/>
  <c r="D218" i="1"/>
  <c r="D167" i="1"/>
  <c r="D175" i="1"/>
  <c r="D240" i="1"/>
  <c r="D270" i="1"/>
  <c r="D284" i="1"/>
  <c r="D254" i="1"/>
  <c r="D248" i="1"/>
  <c r="D160" i="1"/>
  <c r="D146" i="1"/>
  <c r="D199" i="1"/>
  <c r="D217" i="1"/>
  <c r="D212" i="1"/>
  <c r="D279" i="1"/>
  <c r="D206" i="1"/>
  <c r="D232" i="1"/>
  <c r="D190" i="1"/>
  <c r="D150" i="1"/>
  <c r="D230" i="1"/>
  <c r="D165" i="1"/>
  <c r="D210" i="1"/>
  <c r="D278" i="1"/>
  <c r="D166" i="1"/>
  <c r="D180" i="1"/>
  <c r="D244" i="1"/>
  <c r="D241" i="1"/>
  <c r="D237" i="1"/>
  <c r="D266" i="1"/>
  <c r="D191" i="1"/>
  <c r="D233" i="1"/>
  <c r="D261" i="1"/>
  <c r="D159" i="1"/>
  <c r="D158" i="1"/>
  <c r="D265" i="1"/>
  <c r="D178" i="1"/>
  <c r="D184" i="1"/>
  <c r="D222" i="1"/>
  <c r="D283" i="1"/>
  <c r="D216" i="1"/>
  <c r="D258" i="1"/>
  <c r="D282" i="1"/>
  <c r="D149" i="1"/>
  <c r="D148" i="1"/>
  <c r="D157" i="1"/>
  <c r="D264" i="1"/>
  <c r="D272" i="1"/>
  <c r="D214" i="1"/>
  <c r="D140" i="1"/>
  <c r="D196" i="1"/>
  <c r="D220" i="1"/>
  <c r="D235" i="1"/>
  <c r="D179" i="1"/>
  <c r="D141" i="1"/>
  <c r="D139" i="1"/>
  <c r="D147" i="1"/>
  <c r="D195" i="1"/>
  <c r="D250" i="1"/>
  <c r="D234" i="1"/>
  <c r="D173" i="1"/>
  <c r="D273" i="1"/>
  <c r="D209" i="1"/>
  <c r="F231" i="1" l="1"/>
  <c r="J231" i="1"/>
  <c r="H231" i="1"/>
  <c r="P231" i="1"/>
  <c r="N231" i="1"/>
  <c r="O231" i="1"/>
  <c r="Q231" i="1"/>
  <c r="I231" i="1"/>
  <c r="K231" i="1"/>
  <c r="L231" i="1"/>
  <c r="M231" i="1"/>
  <c r="D231" i="1" l="1"/>
</calcChain>
</file>

<file path=xl/sharedStrings.xml><?xml version="1.0" encoding="utf-8"?>
<sst xmlns="http://schemas.openxmlformats.org/spreadsheetml/2006/main" count="2661" uniqueCount="418">
  <si>
    <t>จำนวน</t>
  </si>
  <si>
    <t>หน่วย</t>
  </si>
  <si>
    <t>จำนวนรวม</t>
  </si>
  <si>
    <t>สโตร์รัตนา</t>
  </si>
  <si>
    <t>สโตร์ไทรน้อย</t>
  </si>
  <si>
    <t>เอกมัย</t>
  </si>
  <si>
    <t>วอลโว่</t>
  </si>
  <si>
    <t>สถานที่</t>
  </si>
  <si>
    <t>วัน/เดือน/ปี</t>
  </si>
  <si>
    <t>รายการวัสดุ-อุปกรณ์</t>
  </si>
  <si>
    <t>ขาเข้า/รับ</t>
  </si>
  <si>
    <t>ขาออก/ส่ง</t>
  </si>
  <si>
    <t>รับมาที่</t>
  </si>
  <si>
    <t>ออกจากที่</t>
  </si>
  <si>
    <t>ไปยังที่</t>
  </si>
  <si>
    <t>ผู้ขนของ</t>
  </si>
  <si>
    <t>ผู้รายงาน</t>
  </si>
  <si>
    <t>หมายเหตุ</t>
  </si>
  <si>
    <t>นั่งร้าน 1.70 ม.</t>
  </si>
  <si>
    <t>นั่งร้าน 1.20 ม.</t>
  </si>
  <si>
    <t>ข้อต่อนั่งร้าน</t>
  </si>
  <si>
    <t>ยูเฮด</t>
  </si>
  <si>
    <t>แจ็คเบส</t>
  </si>
  <si>
    <t>ข้อเสือ</t>
  </si>
  <si>
    <t>ฝาครอบนั่งร้าน</t>
  </si>
  <si>
    <t>แบบเหล็ก 0.60 x1.20 ม.</t>
  </si>
  <si>
    <t>แบบเหล็ก 0.40 x1.20 ม.</t>
  </si>
  <si>
    <t>แบบเหล็ก 0.30 x1.20 ม.</t>
  </si>
  <si>
    <t>แบบเหล็ก 0.20 x1.20 ม.</t>
  </si>
  <si>
    <t>เหล็กกล่อง 2"x2" เศษ 1.50 ม.</t>
  </si>
  <si>
    <t>เหล็กกล่อง 2"x2" เศษ 2.00 ม.</t>
  </si>
  <si>
    <t>เหล็กกล่อง 2"x2" เศษ 3.00 ม.</t>
  </si>
  <si>
    <t>เหล็กกล่อง 2"x2" เศษ 1.00 ม.</t>
  </si>
  <si>
    <t>เหล็กกล่อง 2"x4" เศษ 2.00 ม.</t>
  </si>
  <si>
    <t>บันไดนั่งร้าน</t>
  </si>
  <si>
    <t>เหล็กกล่อง 2"x2" 6.00 เมตร</t>
  </si>
  <si>
    <t>เหล็กกล่อง 4"x4" 6.00 เมตร</t>
  </si>
  <si>
    <t>เหล็กกล่อง 4"x4" เศษ 1.00 ม.</t>
  </si>
  <si>
    <t>เหล็กกล่อง 4"x4" เศษ 1.50 ม.</t>
  </si>
  <si>
    <t>เหล็กกล่อง 4"x4" เศษ 2.00 ม.</t>
  </si>
  <si>
    <t>เหล็กกล่อง 4"x4" เศษ 3.00 ม.</t>
  </si>
  <si>
    <t>แผ่นสังกะสีเก่า</t>
  </si>
  <si>
    <t>ไม้ยูคา 2"</t>
  </si>
  <si>
    <t>ไม้ยูคา 4"</t>
  </si>
  <si>
    <t>ลิฟท์กระป๋อง</t>
  </si>
  <si>
    <t>ลูกหมู 4 นิ้ว</t>
  </si>
  <si>
    <t>ไฟเบอร์ 14 นิ้ว</t>
  </si>
  <si>
    <t>เครื่องดัดเหล็ก</t>
  </si>
  <si>
    <t>โบเวอร์เป่าลม</t>
  </si>
  <si>
    <t>เครื่องฉีดน้ำแรงดันสูง</t>
  </si>
  <si>
    <t>เครื่องดูดฝุ่น</t>
  </si>
  <si>
    <t>กล้อง total station</t>
  </si>
  <si>
    <t>กล้องระดับ</t>
  </si>
  <si>
    <t>ไม้สตาฟ</t>
  </si>
  <si>
    <t>ขา</t>
  </si>
  <si>
    <t>ท่อน</t>
  </si>
  <si>
    <t>ตัว</t>
  </si>
  <si>
    <t>เส้น</t>
  </si>
  <si>
    <t>อัน</t>
  </si>
  <si>
    <t>แผ่น</t>
  </si>
  <si>
    <t>ชุด</t>
  </si>
  <si>
    <t>เครื่อง</t>
  </si>
  <si>
    <t>รับมาจาก</t>
  </si>
  <si>
    <t>เหล็กกล่อง 4"x4" เศษ 2.50 ม.</t>
  </si>
  <si>
    <t>ฉาก 1*1*6.00</t>
  </si>
  <si>
    <t>ผู้รับของ</t>
  </si>
  <si>
    <t>แบบเหล็ก 0.25 x1.20 ม.</t>
  </si>
  <si>
    <t>ไดโว่สูบน้ำ 1 นิ้ว</t>
  </si>
  <si>
    <t>ไดโว่สูบน้ำ 2 นิ้ว</t>
  </si>
  <si>
    <t>สปอร์ตไลท์ LED 400W</t>
  </si>
  <si>
    <t>เบรคเกอร์ IP 50 A</t>
  </si>
  <si>
    <t>ตู้พลาสติค 10*12</t>
  </si>
  <si>
    <t>เหล็กกล่อง 3"x3" ยาว 2.00 ม.</t>
  </si>
  <si>
    <t>เหล็กกล่อง 3"x3" ยาว 1.00 ม.</t>
  </si>
  <si>
    <t>เหล็กกล่อง 3"x3" ยาว 6.00 ม.</t>
  </si>
  <si>
    <t>เข็มขัดเซฟตี้</t>
  </si>
  <si>
    <t>พี่โย</t>
  </si>
  <si>
    <t>ห้องน้ำสนาม</t>
  </si>
  <si>
    <t>ห้อง</t>
  </si>
  <si>
    <t>ถัง</t>
  </si>
  <si>
    <t>ม้วน</t>
  </si>
  <si>
    <t>หลอด</t>
  </si>
  <si>
    <t>ตะแกรงกรงไก่</t>
  </si>
  <si>
    <t>ขาหลอด 40 w.</t>
  </si>
  <si>
    <t>ชักโครก</t>
  </si>
  <si>
    <t>ผืน</t>
  </si>
  <si>
    <t>ผ้าใบคลุมปูน 4*6 เมตร</t>
  </si>
  <si>
    <t>เหล็กกล่อง 2"x1" 6.00 เมตร</t>
  </si>
  <si>
    <t>แผ่นสังกะสี ยาว 3 ม</t>
  </si>
  <si>
    <t>แผ่นสังกะสี ยาว 2 ม</t>
  </si>
  <si>
    <t>แผ่นเมทัลชีส ยาว 5 ม</t>
  </si>
  <si>
    <t>แผ่นเมทัลชีส ยาว 4 ม</t>
  </si>
  <si>
    <t>ไม้ยูคา 3"</t>
  </si>
  <si>
    <t>แผ่นเมทัลชีส ยาว 2 ม</t>
  </si>
  <si>
    <t>เหล็กแป๊บกลม 1 1/2 นิ้ว 6.00 ม.</t>
  </si>
  <si>
    <t>แบบเหล็ก 0.35x1.20 ม.</t>
  </si>
  <si>
    <t>แบบเหล็ก 0.30 x1.50 ม.</t>
  </si>
  <si>
    <t>แบบเหล็ก 0.30 x1.80 ม.</t>
  </si>
  <si>
    <t>เหล็กแป๊บกลม 1 1/2 นิ้ว 2.00 ม.</t>
  </si>
  <si>
    <t>หมวดหมู่</t>
  </si>
  <si>
    <t>นั่งร้าน</t>
  </si>
  <si>
    <t>ไม้แบบ</t>
  </si>
  <si>
    <t>แคมป์</t>
  </si>
  <si>
    <t>อุปกรณ์ไฟฟ้า</t>
  </si>
  <si>
    <t>ไฟฟ้า</t>
  </si>
  <si>
    <t>สโตร์พงษ์เพชร</t>
  </si>
  <si>
    <t>เหล็กแป๊บกลม 1 1/2 นิ้ว 3.00 ม.</t>
  </si>
  <si>
    <t>ร้านซ่อม</t>
  </si>
  <si>
    <t>เหล็กกล่อง 2"x2" เศษไม่เกิน 1.00 ม.</t>
  </si>
  <si>
    <t>เหล็กกล่อง 4"x4"เศษ 4 ม.</t>
  </si>
  <si>
    <t>สว่านไฟฟ้า 3 ระบบ</t>
  </si>
  <si>
    <t>ปั๊มน้ำออโต้</t>
  </si>
  <si>
    <t>ปั้มน้ำธรรมดา 1 นิ้ว</t>
  </si>
  <si>
    <t xml:space="preserve"> </t>
  </si>
  <si>
    <t>เหล็กกล่อง 2*4 ยาว 6 ม.</t>
  </si>
  <si>
    <t>เหล็ก c 5*2 ยาว 6 ม.</t>
  </si>
  <si>
    <t>เหล็กกล่อง 2*8 ยาว 6 ม.</t>
  </si>
  <si>
    <t>เหล็กแป๊บกลม 2น.ยาว 6 ม.</t>
  </si>
  <si>
    <t>เหล็ก c 6*2 ยาว 6 ม.</t>
  </si>
  <si>
    <t>เหล็ก c 6*3 ยาว 6 ม.</t>
  </si>
  <si>
    <t>เหล็ก c4*2 ยาว 6 ม.</t>
  </si>
  <si>
    <t>เหล็กฉาก 2*2 ยาว 6 ม.</t>
  </si>
  <si>
    <t>แผ่นเหล็กปูทาง 1.2*2.4</t>
  </si>
  <si>
    <t>เครื่องปันไฟ</t>
  </si>
  <si>
    <t>เครื่องเป่าลมร้อน</t>
  </si>
  <si>
    <t>ตู้เชื่อม</t>
  </si>
  <si>
    <t>ไดโว่สูบน้ำ 3 นิ้ว</t>
  </si>
  <si>
    <t>เหล็กแป๊บกลม 5" ยาว 6 ม.</t>
  </si>
  <si>
    <t>เหล็กรูปพรรณ</t>
  </si>
  <si>
    <t>Safety</t>
  </si>
  <si>
    <t>Site</t>
  </si>
  <si>
    <t>อื่นๆ</t>
  </si>
  <si>
    <t>ถังเก็บน้ำ 500 ลิตร</t>
  </si>
  <si>
    <t>ถังเก็บน้ำ 1000 ลิตร</t>
  </si>
  <si>
    <t>ถังเก็บน้ำ 2000 ลิตร</t>
  </si>
  <si>
    <t>อัพเดทปัจจุบัน</t>
  </si>
  <si>
    <t>สโตร์ออฟฟิศ</t>
  </si>
  <si>
    <t>สโตร์</t>
  </si>
  <si>
    <t>ไซต์งาน</t>
  </si>
  <si>
    <t>Check</t>
  </si>
  <si>
    <t>เหล็ก DB 20  *4 ม**เศษ</t>
  </si>
  <si>
    <t>ปลั๊กพ่วงสนาม</t>
  </si>
  <si>
    <t>ยางบวมน้ำ</t>
  </si>
  <si>
    <t>เครื่องปริ้น</t>
  </si>
  <si>
    <t>ทีวีพร้อมขาตั้งทีวี</t>
  </si>
  <si>
    <t>สายยางปั้มออโต้</t>
  </si>
  <si>
    <t>หมวกเซฟตี้</t>
  </si>
  <si>
    <t>เก้าอี้ขาว</t>
  </si>
  <si>
    <t>เก้าอี้ดำพับ</t>
  </si>
  <si>
    <t>อุปกรณ์สำนักงาน</t>
  </si>
  <si>
    <t>กล่องเบรคเกอร์พร้อมเบรคเกอร์</t>
  </si>
  <si>
    <t>ป๊อปค้ำยัน**ตัวผู้**2 ม</t>
  </si>
  <si>
    <t>ป๊อปค้ำยัน**ตัวผู้**3 ม</t>
  </si>
  <si>
    <t>แบบเหล็ก 0.50 x1.20 ม.</t>
  </si>
  <si>
    <t>แบบเหล็ก 0.15 x1.20 ม.</t>
  </si>
  <si>
    <t>แผ่นเมทัลชีส 0.80ยาว 2.10 ม</t>
  </si>
  <si>
    <t>ขาตั้งกล้อง</t>
  </si>
  <si>
    <t>ตู้สนาม(ตู้คอนเทนเนอร์)</t>
  </si>
  <si>
    <t>ตู้</t>
  </si>
  <si>
    <t>บลูชีส</t>
  </si>
  <si>
    <t>เหล็กกล่อง 2"x2" เศษ 2.50 ม.</t>
  </si>
  <si>
    <t>ป๊อปค้ำยัน**ตัวเมียขาคู่** 1.50 ม</t>
  </si>
  <si>
    <t>ไม้ยูคา 50 ซ</t>
  </si>
  <si>
    <t>เครื่องโม่ปูนฉาบ</t>
  </si>
  <si>
    <t>แผ่นเมทัลชีส ยาว 3 ม</t>
  </si>
  <si>
    <t>แฟลชชิ่ง 3 ม</t>
  </si>
  <si>
    <t>แผ่นเหล็กป้ำลาย</t>
  </si>
  <si>
    <t>กระดาษกาวบิวทิล</t>
  </si>
  <si>
    <t>เหล็กกล่อง 2"x4" เศษ 3-4 ม.</t>
  </si>
  <si>
    <t>รูฟซิล</t>
  </si>
  <si>
    <t>งานซ่อม</t>
  </si>
  <si>
    <t>วิทยุสื่อสาร</t>
  </si>
  <si>
    <t>เครื่องเทสคอนกรีต</t>
  </si>
  <si>
    <t>กะบะผสมปูน</t>
  </si>
  <si>
    <t>Column1</t>
  </si>
  <si>
    <t>ร้านค้า</t>
  </si>
  <si>
    <t>เพิ่มสโตร์ไซต์งานจากคอลัมน์นี้</t>
  </si>
  <si>
    <t>วัสดุก่อสร้างที่เหลือ</t>
  </si>
  <si>
    <t>อุปกรณ์ตรวจสอบ</t>
  </si>
  <si>
    <t>Survey</t>
  </si>
  <si>
    <t>รายการวัสดุ-อุปกรณ์2</t>
  </si>
  <si>
    <t>จำนวนรวม3</t>
  </si>
  <si>
    <t>หน่วย4</t>
  </si>
  <si>
    <t>Column18</t>
  </si>
  <si>
    <t>เลื่อยจิ๊กซอร์</t>
  </si>
  <si>
    <t>พัดลมดูดอากาศพร้อมสาย</t>
  </si>
  <si>
    <t>ตะเกียบสำหรับนั่งร้าน 1.70 ม</t>
  </si>
  <si>
    <t>ตะเกียบสำหรับนั่งร้าน 1.20 ม</t>
  </si>
  <si>
    <t>ตะเกียบสำหรับนั่งร้าน 0.5,0.9 ม</t>
  </si>
  <si>
    <t>คู่</t>
  </si>
  <si>
    <t>แบบเหล็ก 0.25 x1.50 ม.</t>
  </si>
  <si>
    <t>แบบเหล็ก 0.25 x1.80 ม.</t>
  </si>
  <si>
    <t>ท่อ PVC 4 หุน ยาว 2-3 ม</t>
  </si>
  <si>
    <t>ล้อนั่งร้านแบบโพลี่ 8 นิ้ว</t>
  </si>
  <si>
    <t>ล้อ</t>
  </si>
  <si>
    <t>จิ๊กป้ายโชว์รูม</t>
  </si>
  <si>
    <t>เหล็กฉาก 2*2 ยาว 3 ม.</t>
  </si>
  <si>
    <t>ล้อนั่งร้านแบบธรรมดา 6 นิ้ว</t>
  </si>
  <si>
    <t>แบบเหล็ก 0.10 x1.20 ม.</t>
  </si>
  <si>
    <t>แบบเหล็ก 0.10 x1.50 ม.</t>
  </si>
  <si>
    <t>แบบเหล็ก 0.20 x1.50 ม.</t>
  </si>
  <si>
    <t>แบบเหล็ก 0.20 x1.80 ม.</t>
  </si>
  <si>
    <t>แบบเหล็ก 0.40 x1.50 ม.</t>
  </si>
  <si>
    <t>โต๊ะพับ</t>
  </si>
  <si>
    <t>กระดานไวท์บอร์ด</t>
  </si>
  <si>
    <t>เช่า</t>
  </si>
  <si>
    <t>ถังดับเพลิง</t>
  </si>
  <si>
    <t>รถมอเตอร์ไซด์ จจพ เชียงใหม่ 982</t>
  </si>
  <si>
    <t>รถกระบะ ถธ3123 กทม</t>
  </si>
  <si>
    <t>คัน</t>
  </si>
  <si>
    <t>ทะวายกลมล็อคสาย</t>
  </si>
  <si>
    <t>แล็คไฟฟ้า 4 ช่อง</t>
  </si>
  <si>
    <t>เครื่องตัดเหล็ก</t>
  </si>
  <si>
    <t>ตู้สโตร์</t>
  </si>
  <si>
    <t>ห้องน้ำสนาม 2 ห้อง</t>
  </si>
  <si>
    <t>รอเช็คเอกมัย</t>
  </si>
  <si>
    <t>เศษตะแกรงไวเมท</t>
  </si>
  <si>
    <t>สาย THW A*20 sqmm ยาว 20 ม.</t>
  </si>
  <si>
    <t>สาย THW A*25 sqmm ยาว 20 ม.</t>
  </si>
  <si>
    <t>สาย THW A*30 sqmm ยาว 20 ม.</t>
  </si>
  <si>
    <t>สาย THW A*50 sqmm ยาว 20 ม.</t>
  </si>
  <si>
    <t>สาย THW A*16 sqmm ยาว 20 ม.</t>
  </si>
  <si>
    <t>สาย THW A1*10 sqmm ยาว 100 ม.</t>
  </si>
  <si>
    <t>แบบเสาเหล็ก 0.20 x 0.20 x 3.00 ม.</t>
  </si>
  <si>
    <t>ไม้อัดดำ 1.20 x 2.40 ม. 15 mm</t>
  </si>
  <si>
    <t>ล้อนั่งร้านแบบธรรมดา 8 นิ้ว</t>
  </si>
  <si>
    <t>ท่อ PVC 4 หุน 6 ม.</t>
  </si>
  <si>
    <t>เหล็ก L-bolt</t>
  </si>
  <si>
    <t>เซี๊ยม pvc  7 มม ยาว 2 ม.</t>
  </si>
  <si>
    <t>ยานพาหนะ</t>
  </si>
  <si>
    <t>แมสชีส 1.80x5.10 ม.</t>
  </si>
  <si>
    <t>แผ่นเหล็กพับลูกบันได 0.30x0.60 ม</t>
  </si>
  <si>
    <t>ชุดเต๊น ผ้าใบ + ขา</t>
  </si>
  <si>
    <t>หลัง</t>
  </si>
  <si>
    <t>ลัง</t>
  </si>
  <si>
    <t>ตะปูตอกไม้ 2 นิ้ว</t>
  </si>
  <si>
    <t>แย็กไฟฟ้า 10 kg</t>
  </si>
  <si>
    <t>เลื่อยวงเดือน 7 นิ้ว</t>
  </si>
  <si>
    <t>แย็กไฟฟ้า 5 kg</t>
  </si>
  <si>
    <t>พัดลม 18 นิ้ว</t>
  </si>
  <si>
    <t>พัดลมอุตาสาหกรรม 24 นิ้ว</t>
  </si>
  <si>
    <t>ถังน้ำ 200 ลิตร</t>
  </si>
  <si>
    <t>สว่านไฟฟ้า ธรรมดา</t>
  </si>
  <si>
    <t>วายจี้ปูนไฟฟ้า 1 นิ้ว ยาว 2 ม.</t>
  </si>
  <si>
    <t>วายจี้ปูน 1.5 นิ้ว ยาว 6 ม.</t>
  </si>
  <si>
    <t>เครื่องจี้ปูน 5.5 แรงม้า</t>
  </si>
  <si>
    <t>เหล็กแป๊บกลม 1 1/2 นิ้ว 4.00 ม.</t>
  </si>
  <si>
    <t>ปั๊กเก็ตเทปูนแบบเปิดข้าง</t>
  </si>
  <si>
    <t>เหล็กคอกรถกระบะ</t>
  </si>
  <si>
    <t>หลังคารถกระบะแบบสวมคอก</t>
  </si>
  <si>
    <t>ผ้ากันสะเก็ดไฟ</t>
  </si>
  <si>
    <t>ใบ</t>
  </si>
  <si>
    <t>ตั้งแต่วันที่</t>
  </si>
  <si>
    <t>ถึงวันที่</t>
  </si>
  <si>
    <t>พุกเหล็ก3/8</t>
  </si>
  <si>
    <t>พุกเหล็ก5/8</t>
  </si>
  <si>
    <t>ท่อผ้าใบ 3 นิ้ว 20 ม.</t>
  </si>
  <si>
    <t>เครื่องฉีดน้ำ</t>
  </si>
  <si>
    <t>สายยางสีเขียว 50 ม.</t>
  </si>
  <si>
    <t>เหล็กวายเมท</t>
  </si>
  <si>
    <t>ลวดผูกเหล็ก</t>
  </si>
  <si>
    <t>สี</t>
  </si>
  <si>
    <t>เศษไม้อัด 2*2</t>
  </si>
  <si>
    <t>เครื่องวัดความหนาสี</t>
  </si>
  <si>
    <t>เหล็ก DB 12  *2 ม**เศษ</t>
  </si>
  <si>
    <t>กรวยกั้นพื้นที่</t>
  </si>
  <si>
    <t>เหล็กเส้นข้ออ้อย*12 มม ยาว 10 ม</t>
  </si>
  <si>
    <t>สายลมแก๊ส 25 เมตร</t>
  </si>
  <si>
    <t>ปืนยิง pu</t>
  </si>
  <si>
    <t>สว่านไร้สาย</t>
  </si>
  <si>
    <t>ลูกหมูไร้สาย</t>
  </si>
  <si>
    <t>ร่มเซอร์เวย์</t>
  </si>
  <si>
    <t>แผ่นสังกะสี</t>
  </si>
  <si>
    <t>ค้อน</t>
  </si>
  <si>
    <t>ขวาน</t>
  </si>
  <si>
    <t>อุปกรณ์ก่อสร้าง</t>
  </si>
  <si>
    <t>รอซ่อม</t>
  </si>
  <si>
    <t>เทปวัดระยะ 50 ม.</t>
  </si>
  <si>
    <t>สปริงคริปงานเข้าแบบผนัง</t>
  </si>
  <si>
    <t>ยูเฮด 20 เซน</t>
  </si>
  <si>
    <t>นั่งร้าน 0.50 ซ.</t>
  </si>
  <si>
    <t>โถนั่งยอง</t>
  </si>
  <si>
    <t>ชุดตัดแก๊ส</t>
  </si>
  <si>
    <t>ลูกหมู 7 นิ้ว</t>
  </si>
  <si>
    <t>บันไดเอเฟรมอลูมิเนียม</t>
  </si>
  <si>
    <t>เครื่องขัดกระดาษทราย</t>
  </si>
  <si>
    <t>เสื้อสะท้อนแสง</t>
  </si>
  <si>
    <t>เลเซอร์</t>
  </si>
  <si>
    <t>กบินทร์บุรี</t>
  </si>
  <si>
    <t>เลื่อยยนตร์ (เลื่อยตัดไม้)</t>
  </si>
  <si>
    <t>เครื่องเล็กรอซ่อม</t>
  </si>
  <si>
    <t>ปริซึม เล็ก +ขาตั้ง</t>
  </si>
  <si>
    <t>ปริซึม ใหญ่ + ขาตั้ง</t>
  </si>
  <si>
    <t>ตู้เย็น</t>
  </si>
  <si>
    <t>ไมโครเวฟ</t>
  </si>
  <si>
    <t>เครื่องขัดหน้าปูนฉาบ</t>
  </si>
  <si>
    <t>แผ่นเมทัลชีส ยาว 6 ม</t>
  </si>
  <si>
    <t>แผ่นเหยียบ</t>
  </si>
  <si>
    <t>ข้องอ Pvc 90 4 นิ้ว</t>
  </si>
  <si>
    <t>สามทาง pvc 4 นิ้ว</t>
  </si>
  <si>
    <t>อิฐมวลเบา 20*60</t>
  </si>
  <si>
    <t>ก้อน</t>
  </si>
  <si>
    <t>เหล็กฉาก 2*2 ยาว 2 ม.</t>
  </si>
  <si>
    <t>ท่อไฟ 3 นิ้ว</t>
  </si>
  <si>
    <t>สีทาเหล็ก โชกูกุ 3 ลิตร</t>
  </si>
  <si>
    <t>สีกันสนิม 18</t>
  </si>
  <si>
    <t>ท่อ pvc 6 นิ้ว</t>
  </si>
  <si>
    <t>เหล็ก H B  20 ซ</t>
  </si>
  <si>
    <t>ซีรางน้ำ</t>
  </si>
  <si>
    <t>เหล็กฉาก 4*4 ยาว 4 ม.</t>
  </si>
  <si>
    <t>เหล็กแป๊บกลม 2น.ยาว 2 ม.</t>
  </si>
  <si>
    <t>เหล็กเส้นข้ออ้อย*6 มม ยาว 10 ม</t>
  </si>
  <si>
    <t>คลอบประตู</t>
  </si>
  <si>
    <t>แผ่นใส 1.5 ม</t>
  </si>
  <si>
    <t>คลอบโค้ง 3 ม</t>
  </si>
  <si>
    <t>ต่อตรง pvc 3 นิ้ว</t>
  </si>
  <si>
    <t>เครื่องตบดิน</t>
  </si>
  <si>
    <t xml:space="preserve">หกเหลี่ยม เบอร์ 19 </t>
  </si>
  <si>
    <t>เครื่องปาดหน้าปูนไร้สาย</t>
  </si>
  <si>
    <t>ใบตัดปูน 7 นิ้ว</t>
  </si>
  <si>
    <t>ปูนปรับระดับ</t>
  </si>
  <si>
    <t>ถุง</t>
  </si>
  <si>
    <t>เหล็กฉาก 1*1 ยาว 6 ม.</t>
  </si>
  <si>
    <t>ตู้กันฝน</t>
  </si>
  <si>
    <t>รถเข็นปูนแบบล้อเดียว</t>
  </si>
  <si>
    <t>กล้องวงจรปิด</t>
  </si>
  <si>
    <t>อยู่บ้านวิภา 3 ตัว</t>
  </si>
  <si>
    <t>สีกันสนิม 3 ลิตร</t>
  </si>
  <si>
    <t>โตโยต้า นครพิงค์</t>
  </si>
  <si>
    <t>โกดังพี่เบิ้ล</t>
  </si>
  <si>
    <t>นั่งร้านค้ำยันแบบขาคู่ 1.70</t>
  </si>
  <si>
    <t>สาย</t>
  </si>
  <si>
    <t>สายวายจี้ 1 นิ้ว ยาว 6 ม.</t>
  </si>
  <si>
    <t>โรงเรียนแนช</t>
  </si>
  <si>
    <t>เครื่องแสกนความร้อน</t>
  </si>
  <si>
    <t>เครื่องตัดจ๊อย</t>
  </si>
  <si>
    <t xml:space="preserve">เครื่องตัดจ๊อย Honda </t>
  </si>
  <si>
    <t>ไฟเบอร์ตัดปูน 4 นิ้ว</t>
  </si>
  <si>
    <t>ตะปูคอนกรีต</t>
  </si>
  <si>
    <t>กล่อง</t>
  </si>
  <si>
    <t>ท่อดูดอากาศ</t>
  </si>
  <si>
    <t>ล้อนั่งร้านแบบโพลี่ 6 นิ้ว</t>
  </si>
  <si>
    <t>ใบตัดไฟเบอร์</t>
  </si>
  <si>
    <t>แบบเหล็ก 0.15 x1.50 ม.</t>
  </si>
  <si>
    <t>แบบเหล็ก 0.40 x1.80 ม.</t>
  </si>
  <si>
    <t>แบบเหล็ก 0.50 x1.50 ม.</t>
  </si>
  <si>
    <t>แบบเหล็ก 0.60 x1.50 ม.</t>
  </si>
  <si>
    <t>ที่ออฟฟิศใช้ได้ 1 ตัว 5 ตัวรอซ่อม</t>
  </si>
  <si>
    <t>ประตู</t>
  </si>
  <si>
    <t>บาน</t>
  </si>
  <si>
    <t>เหล็กแป๊บกลม 1.5 น.ยาว 2.50-3 ม.</t>
  </si>
  <si>
    <t>ข้อมูลไม่ใช่</t>
  </si>
  <si>
    <t>ยอดตั้งต้น/ปรับยอด</t>
  </si>
  <si>
    <t>มานพ</t>
  </si>
  <si>
    <t>ช่างดี</t>
  </si>
  <si>
    <t>รับพื้นชั้น 2</t>
  </si>
  <si>
    <t>ตู้ไฟ 3 เฟส</t>
  </si>
  <si>
    <t>เครื่องมือก่อสร้าง</t>
  </si>
  <si>
    <t>สมพงษ์</t>
  </si>
  <si>
    <t>รับจากเอ็นโค่</t>
  </si>
  <si>
    <t>เลิกใช้งาน</t>
  </si>
  <si>
    <t>แบบเสาประกอบ 30*40*3.00</t>
  </si>
  <si>
    <t>แบบเสาประกอบ 25*25*3.00</t>
  </si>
  <si>
    <t>ชิ้น</t>
  </si>
  <si>
    <t>พี่หลับ</t>
  </si>
  <si>
    <t>ช่างวิน</t>
  </si>
  <si>
    <t>งานโครงหหลังคา/ช่างยะ</t>
  </si>
  <si>
    <t>65-5757 กทม.</t>
  </si>
  <si>
    <t>ปูนสกิมตราลูกดิ่ง  (ขาว)</t>
  </si>
  <si>
    <t>วัสดุสิ้นเปลือง</t>
  </si>
  <si>
    <t>ซื้อจากร้านค้า</t>
  </si>
  <si>
    <t>ผ้าใบเคลือบ คลุมวัสดุ 4x6  (สีฟ้า)</t>
  </si>
  <si>
    <t xml:space="preserve">               </t>
  </si>
  <si>
    <t>80 กบินทร์</t>
  </si>
  <si>
    <t>180 ซื้อใหม่</t>
  </si>
  <si>
    <t>245 คู่</t>
  </si>
  <si>
    <t xml:space="preserve">    </t>
  </si>
  <si>
    <t>ป๊อปค้ำยัน**ตัวเมีย**2 ม</t>
  </si>
  <si>
    <t>.</t>
  </si>
  <si>
    <t>29/6269</t>
  </si>
  <si>
    <t>ชำรุด</t>
  </si>
  <si>
    <t>1ฒล-5913 กทม.</t>
  </si>
  <si>
    <t>ชุดช่างดำ ใช้งาน สำหรับงานซ่อมแต่ละโครงการ</t>
  </si>
  <si>
    <t>อยู่ร้านซ่อม รอเสนอราคา  เบอร์ร้าน 086-8948122</t>
  </si>
  <si>
    <t>มิเตอร์ไฟฟ้า 15 แอมป์</t>
  </si>
  <si>
    <t>มิเตอร์ไฟฟ้า 10 แอมป์</t>
  </si>
  <si>
    <t>มิเตอร์ประปา</t>
  </si>
  <si>
    <t xml:space="preserve">   </t>
  </si>
  <si>
    <t>รร.แนชเลิกใช้ นำกลับมาสต็อกรอขึ้นงานใหม่</t>
  </si>
  <si>
    <t>ชุด ผรม.ช่างภูบาล  ใช้งานขึ้นวัสดุ</t>
  </si>
  <si>
    <t>ช่างดำ</t>
  </si>
  <si>
    <t>ใช้งานได้ 364อีก 21 ตัวใง้งานไม่ได้ (ภูกตัดขา)</t>
  </si>
  <si>
    <t xml:space="preserve">                                </t>
  </si>
  <si>
    <t>คุณปุยเอ็นแมท ขอยืมไปแล้วนำกลับมาคืน</t>
  </si>
  <si>
    <t>ประจำชุดช่างตา</t>
  </si>
  <si>
    <t>บจก. เอลแกน บิลด์</t>
  </si>
  <si>
    <t>ใบตอง</t>
  </si>
  <si>
    <t>ถังสำรองน้ำมัน ขนาด 5 ลิตร (สีแดง)</t>
  </si>
  <si>
    <t>14/7/669</t>
  </si>
  <si>
    <t>เหล็ก DB 12 มม.ยาว10 ม</t>
  </si>
  <si>
    <t>เหล็ก DB 16มม.ยาว 6 ม.</t>
  </si>
  <si>
    <t>เหล็ก DB 20มม.ยาว 6 ม</t>
  </si>
  <si>
    <t>งานไม้แบบ</t>
  </si>
  <si>
    <t>เหล็กฉาก 10ซม.*10ซม. ยาว 6 ม.</t>
  </si>
  <si>
    <t>ของเหลือมาจาก งานโคราช</t>
  </si>
  <si>
    <t>รับจาก ดูโฮมสาขาบางพูน</t>
  </si>
  <si>
    <t xml:space="preserve"> 1 เครื่องซ่อมไม่คุ้ม</t>
  </si>
  <si>
    <t>ช่างดี/ช่างดำ</t>
  </si>
  <si>
    <t>ปูนเกร๊า</t>
  </si>
  <si>
    <t xml:space="preserve">                                                   </t>
  </si>
  <si>
    <t>ค้อนปอนด์ 8 P พร้อมด้าม</t>
  </si>
  <si>
    <t>ของที่ใช้งานได้</t>
  </si>
  <si>
    <t>ชุดแอร์ คอยเย็น+คอยร้อน</t>
  </si>
  <si>
    <t>รอแจ้งราคา</t>
  </si>
  <si>
    <t>แฮนด์ลิฟท์ 2.5 ตัน</t>
  </si>
  <si>
    <t>สีน้ำมัน โชกูกุ 3 ลิตร</t>
  </si>
  <si>
    <t>สีน้ำมัน โชกูกุ 18 ลิตร</t>
  </si>
  <si>
    <t>227/269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</si>
</sst>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870000]d/m/yy;@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Aptos Narrow"/>
      <family val="2"/>
      <scheme val="minor"/>
    </font>
    <font>
      <b/>
      <sz val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9" fillId="0" borderId="0"/>
  </cellStyleXfs>
  <cellXfs count="1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1" fillId="9" borderId="0" xfId="0" applyFont="1" applyFill="1" applyAlignment="1">
      <alignment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8" borderId="0" xfId="0" applyFont="1" applyFill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7" borderId="2" xfId="0" applyFill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4" borderId="7" xfId="0" applyFill="1" applyBorder="1" applyAlignment="1">
      <alignment vertical="center"/>
    </xf>
    <xf numFmtId="165" fontId="0" fillId="0" borderId="7" xfId="1" applyNumberFormat="1" applyFont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6" borderId="0" xfId="0" applyFill="1" applyAlignment="1">
      <alignment vertical="center"/>
    </xf>
    <xf numFmtId="0" fontId="5" fillId="9" borderId="7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6" borderId="8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16" borderId="9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165" fontId="0" fillId="14" borderId="1" xfId="1" applyNumberFormat="1" applyFont="1" applyFill="1" applyBorder="1" applyAlignment="1">
      <alignment vertical="center"/>
    </xf>
    <xf numFmtId="165" fontId="0" fillId="14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9" borderId="3" xfId="0" applyFill="1" applyBorder="1" applyAlignment="1">
      <alignment vertical="center"/>
    </xf>
    <xf numFmtId="165" fontId="0" fillId="9" borderId="1" xfId="1" applyNumberFormat="1" applyFont="1" applyFill="1" applyBorder="1" applyAlignment="1">
      <alignment vertical="center"/>
    </xf>
    <xf numFmtId="0" fontId="0" fillId="9" borderId="7" xfId="0" applyFill="1" applyBorder="1" applyAlignment="1">
      <alignment vertical="center"/>
    </xf>
    <xf numFmtId="165" fontId="0" fillId="9" borderId="3" xfId="1" applyNumberFormat="1" applyFont="1" applyFill="1" applyBorder="1" applyAlignment="1">
      <alignment horizontal="center" vertical="center"/>
    </xf>
    <xf numFmtId="165" fontId="0" fillId="18" borderId="1" xfId="1" applyNumberFormat="1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5" fillId="12" borderId="7" xfId="0" applyFont="1" applyFill="1" applyBorder="1" applyAlignment="1">
      <alignment horizontal="center" vertical="center" wrapText="1"/>
    </xf>
    <xf numFmtId="165" fontId="0" fillId="14" borderId="3" xfId="1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165" fontId="0" fillId="18" borderId="1" xfId="1" applyNumberFormat="1" applyFont="1" applyFill="1" applyBorder="1" applyAlignment="1">
      <alignment vertical="center"/>
    </xf>
    <xf numFmtId="165" fontId="0" fillId="18" borderId="7" xfId="1" applyNumberFormat="1" applyFont="1" applyFill="1" applyBorder="1" applyAlignment="1">
      <alignment horizontal="center" vertical="center"/>
    </xf>
    <xf numFmtId="0" fontId="0" fillId="18" borderId="8" xfId="0" applyFill="1" applyBorder="1" applyAlignment="1">
      <alignment vertical="center"/>
    </xf>
    <xf numFmtId="0" fontId="0" fillId="18" borderId="7" xfId="0" applyFill="1" applyBorder="1" applyAlignment="1">
      <alignment vertical="center"/>
    </xf>
    <xf numFmtId="0" fontId="0" fillId="18" borderId="0" xfId="0" applyFill="1" applyAlignment="1">
      <alignment vertical="center"/>
    </xf>
    <xf numFmtId="0" fontId="5" fillId="17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165" fontId="8" fillId="0" borderId="7" xfId="1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65" fontId="0" fillId="25" borderId="1" xfId="1" applyNumberFormat="1" applyFont="1" applyFill="1" applyBorder="1" applyAlignment="1">
      <alignment vertical="center"/>
    </xf>
    <xf numFmtId="0" fontId="0" fillId="26" borderId="0" xfId="0" applyFill="1" applyAlignment="1">
      <alignment vertical="center"/>
    </xf>
    <xf numFmtId="165" fontId="0" fillId="26" borderId="1" xfId="1" applyNumberFormat="1" applyFont="1" applyFill="1" applyBorder="1" applyAlignment="1">
      <alignment vertical="center"/>
    </xf>
    <xf numFmtId="165" fontId="0" fillId="13" borderId="1" xfId="1" applyNumberFormat="1" applyFont="1" applyFill="1" applyBorder="1" applyAlignment="1">
      <alignment vertical="center"/>
    </xf>
    <xf numFmtId="165" fontId="0" fillId="27" borderId="1" xfId="1" applyNumberFormat="1" applyFont="1" applyFill="1" applyBorder="1" applyAlignment="1">
      <alignment vertical="center"/>
    </xf>
    <xf numFmtId="14" fontId="0" fillId="19" borderId="0" xfId="0" applyNumberFormat="1" applyFill="1" applyAlignment="1">
      <alignment vertical="center"/>
    </xf>
    <xf numFmtId="14" fontId="0" fillId="18" borderId="0" xfId="0" applyNumberFormat="1" applyFill="1" applyAlignment="1">
      <alignment vertical="center"/>
    </xf>
    <xf numFmtId="165" fontId="0" fillId="0" borderId="1" xfId="1" applyNumberFormat="1" applyFont="1" applyBorder="1" applyAlignment="1">
      <alignment horizontal="left" vertical="center"/>
    </xf>
    <xf numFmtId="0" fontId="0" fillId="28" borderId="1" xfId="0" applyFill="1" applyBorder="1"/>
    <xf numFmtId="0" fontId="0" fillId="0" borderId="1" xfId="0" quotePrefix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" xfId="0" quotePrefix="1" applyBorder="1"/>
    <xf numFmtId="0" fontId="0" fillId="13" borderId="3" xfId="0" applyFill="1" applyBorder="1" applyAlignment="1">
      <alignment horizontal="center" vertical="center"/>
    </xf>
    <xf numFmtId="165" fontId="0" fillId="26" borderId="1" xfId="1" applyNumberFormat="1" applyFont="1" applyFill="1" applyBorder="1" applyAlignment="1">
      <alignment horizontal="center" vertical="center"/>
    </xf>
    <xf numFmtId="165" fontId="0" fillId="26" borderId="7" xfId="1" applyNumberFormat="1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ปกติ 2" xfId="2" xr:uid="{A5E13BD0-1637-45FA-B799-B53C1A8CE123}"/>
  </cellStyles>
  <dxfs count="6"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4ED0-E9AC-4536-BAF7-9919E44EB944}">
  <sheetPr>
    <pageSetUpPr fitToPage="1"/>
  </sheetPr>
  <dimension ref="A1:ALY286"/>
  <sheetViews>
    <sheetView tabSelected="1" zoomScale="89" zoomScaleNormal="89" zoomScaleSheetLayoutView="70" workbookViewId="0">
      <pane xSplit="5" ySplit="5" topLeftCell="F18" activePane="bottomRight" state="frozen"/>
      <selection pane="topRight" activeCell="F1" sqref="F1"/>
      <selection pane="bottomLeft" activeCell="A4" sqref="A4"/>
      <selection pane="bottomRight" activeCell="I23" sqref="I23"/>
    </sheetView>
  </sheetViews>
  <sheetFormatPr defaultColWidth="9.109375" defaultRowHeight="14.4" x14ac:dyDescent="0.3"/>
  <cols>
    <col min="1" max="1" width="2.88671875" style="4" customWidth="1"/>
    <col min="2" max="2" width="19" style="5" customWidth="1"/>
    <col min="3" max="3" width="30.21875" style="4" customWidth="1"/>
    <col min="4" max="4" width="13.6640625" style="4" customWidth="1"/>
    <col min="5" max="5" width="9.21875" style="4" customWidth="1"/>
    <col min="6" max="7" width="10.21875" style="5" customWidth="1"/>
    <col min="8" max="8" width="14.77734375" style="5" customWidth="1"/>
    <col min="9" max="18" width="10.21875" style="5" customWidth="1"/>
    <col min="19" max="19" width="37.6640625" style="5" customWidth="1"/>
    <col min="20" max="20" width="14.33203125" style="5" customWidth="1"/>
    <col min="21" max="21" width="3.109375" style="28" customWidth="1"/>
    <col min="22" max="22" width="28.33203125" style="4" customWidth="1"/>
    <col min="23" max="23" width="13.33203125" style="4" customWidth="1"/>
    <col min="24" max="24" width="9.109375" style="4" customWidth="1"/>
    <col min="25" max="37" width="10.77734375" style="4" customWidth="1"/>
    <col min="38" max="38" width="3.109375" style="28" customWidth="1"/>
    <col min="39" max="39" width="9.109375" style="4"/>
    <col min="40" max="40" width="9.33203125" style="4" bestFit="1" customWidth="1"/>
    <col min="41" max="16384" width="9.109375" style="4"/>
  </cols>
  <sheetData>
    <row r="1" spans="2:68" x14ac:dyDescent="0.3">
      <c r="F1" s="5" t="s">
        <v>252</v>
      </c>
      <c r="G1" s="5" t="s">
        <v>253</v>
      </c>
    </row>
    <row r="2" spans="2:68" ht="25.5" customHeight="1" x14ac:dyDescent="0.3">
      <c r="F2" s="50">
        <v>46182</v>
      </c>
      <c r="G2" s="50">
        <v>46225</v>
      </c>
      <c r="I2" s="24"/>
      <c r="J2" s="51" t="s">
        <v>176</v>
      </c>
      <c r="M2" s="51"/>
      <c r="N2" s="51"/>
      <c r="O2" s="51"/>
      <c r="P2" s="51"/>
      <c r="Q2" s="24"/>
      <c r="R2" s="51"/>
      <c r="S2" s="51"/>
    </row>
    <row r="3" spans="2:68" ht="21" customHeight="1" x14ac:dyDescent="0.3">
      <c r="B3" s="106" t="s">
        <v>135</v>
      </c>
      <c r="C3" s="108">
        <f ca="1">TODAY()</f>
        <v>46226</v>
      </c>
      <c r="F3" s="100" t="s">
        <v>137</v>
      </c>
      <c r="G3" s="100"/>
      <c r="H3" s="100"/>
      <c r="I3" s="100"/>
      <c r="J3" s="101" t="s">
        <v>138</v>
      </c>
      <c r="K3" s="102"/>
      <c r="L3" s="102"/>
      <c r="M3" s="102"/>
      <c r="N3" s="102"/>
      <c r="O3" s="102"/>
      <c r="P3" s="102"/>
      <c r="Q3" s="103"/>
      <c r="R3" s="15" t="s">
        <v>131</v>
      </c>
      <c r="S3" s="58"/>
      <c r="T3" s="8"/>
      <c r="V3" s="104" t="s">
        <v>352</v>
      </c>
      <c r="W3" s="104"/>
      <c r="X3" s="104"/>
      <c r="Y3" s="11"/>
      <c r="Z3" s="11" t="s">
        <v>7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2:68" ht="21" customHeight="1" x14ac:dyDescent="0.3">
      <c r="B4" s="107"/>
      <c r="C4" s="109"/>
      <c r="F4" s="71">
        <v>1</v>
      </c>
      <c r="G4" s="71">
        <v>2</v>
      </c>
      <c r="H4" s="71">
        <v>3</v>
      </c>
      <c r="I4" s="71">
        <v>4</v>
      </c>
      <c r="J4" s="72">
        <v>5</v>
      </c>
      <c r="K4" s="73">
        <v>6</v>
      </c>
      <c r="L4" s="72">
        <v>7</v>
      </c>
      <c r="M4" s="73">
        <v>8</v>
      </c>
      <c r="N4" s="72">
        <v>9</v>
      </c>
      <c r="O4" s="73">
        <v>10</v>
      </c>
      <c r="P4" s="72">
        <v>11</v>
      </c>
      <c r="Q4" s="73">
        <v>12</v>
      </c>
      <c r="R4" s="15">
        <v>13</v>
      </c>
      <c r="S4" s="58"/>
      <c r="T4" s="8"/>
      <c r="V4" s="105"/>
      <c r="W4" s="105"/>
      <c r="X4" s="105"/>
      <c r="Y4" s="71">
        <v>1</v>
      </c>
      <c r="Z4" s="71">
        <v>2</v>
      </c>
      <c r="AA4" s="71">
        <v>3</v>
      </c>
      <c r="AB4" s="71">
        <v>4</v>
      </c>
      <c r="AC4" s="72">
        <v>5</v>
      </c>
      <c r="AD4" s="73">
        <v>6</v>
      </c>
      <c r="AE4" s="73">
        <v>7</v>
      </c>
      <c r="AF4" s="73">
        <v>8</v>
      </c>
      <c r="AG4" s="73">
        <v>9</v>
      </c>
      <c r="AH4" s="73">
        <v>10</v>
      </c>
      <c r="AI4" s="73">
        <v>11</v>
      </c>
      <c r="AJ4" s="74">
        <v>12</v>
      </c>
      <c r="AK4" s="15">
        <v>13</v>
      </c>
    </row>
    <row r="5" spans="2:68" ht="36.75" customHeight="1" x14ac:dyDescent="0.3">
      <c r="B5" s="37" t="s">
        <v>99</v>
      </c>
      <c r="C5" s="37" t="s">
        <v>9</v>
      </c>
      <c r="D5" s="38" t="s">
        <v>2</v>
      </c>
      <c r="E5" s="37" t="s">
        <v>1</v>
      </c>
      <c r="F5" s="39" t="s">
        <v>105</v>
      </c>
      <c r="G5" s="39" t="s">
        <v>136</v>
      </c>
      <c r="H5" s="40" t="s">
        <v>3</v>
      </c>
      <c r="I5" s="40" t="s">
        <v>4</v>
      </c>
      <c r="J5" s="41" t="s">
        <v>5</v>
      </c>
      <c r="K5" s="41" t="s">
        <v>6</v>
      </c>
      <c r="L5" s="41" t="s">
        <v>170</v>
      </c>
      <c r="M5" s="61" t="s">
        <v>288</v>
      </c>
      <c r="N5" s="68" t="s">
        <v>329</v>
      </c>
      <c r="O5" s="69" t="s">
        <v>333</v>
      </c>
      <c r="P5" s="67" t="s">
        <v>328</v>
      </c>
      <c r="Q5" s="41" t="s">
        <v>205</v>
      </c>
      <c r="R5" s="42" t="s">
        <v>107</v>
      </c>
      <c r="S5" s="59" t="s">
        <v>17</v>
      </c>
      <c r="T5" s="29" t="s">
        <v>175</v>
      </c>
      <c r="U5" s="30" t="s">
        <v>174</v>
      </c>
      <c r="V5" s="31" t="s">
        <v>180</v>
      </c>
      <c r="W5" s="32" t="s">
        <v>181</v>
      </c>
      <c r="X5" s="32" t="s">
        <v>182</v>
      </c>
      <c r="Y5" s="39" t="s">
        <v>105</v>
      </c>
      <c r="Z5" s="39" t="s">
        <v>136</v>
      </c>
      <c r="AA5" s="40" t="s">
        <v>3</v>
      </c>
      <c r="AB5" s="40" t="s">
        <v>4</v>
      </c>
      <c r="AC5" s="41" t="s">
        <v>5</v>
      </c>
      <c r="AD5" s="41" t="s">
        <v>6</v>
      </c>
      <c r="AE5" s="41" t="s">
        <v>170</v>
      </c>
      <c r="AF5" s="61" t="s">
        <v>288</v>
      </c>
      <c r="AG5" s="68" t="s">
        <v>329</v>
      </c>
      <c r="AH5" s="69" t="s">
        <v>333</v>
      </c>
      <c r="AI5" s="67" t="s">
        <v>328</v>
      </c>
      <c r="AJ5" s="41" t="s">
        <v>205</v>
      </c>
      <c r="AK5" s="42" t="s">
        <v>107</v>
      </c>
      <c r="AL5" s="30" t="s">
        <v>183</v>
      </c>
    </row>
    <row r="6" spans="2:68" x14ac:dyDescent="0.3">
      <c r="B6" s="43" t="s">
        <v>129</v>
      </c>
      <c r="C6" s="6" t="s">
        <v>75</v>
      </c>
      <c r="D6" s="79">
        <f t="shared" ref="D6:D12" si="0">SUMIF(F6:T6,"&gt;0")</f>
        <v>8</v>
      </c>
      <c r="E6" s="6" t="s">
        <v>58</v>
      </c>
      <c r="F6" s="9">
        <f>Y6+SUMIFS('บันทึกของเข้า-ออก'!$J:$J,'บันทึกของเข้า-ออก'!$B:$B,สรุป!$C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" s="9">
        <f>Z6+SUMIFS('บันทึกของเข้า-ออก'!$J:$J,'บันทึกของเข้า-ออก'!$B:$B,สรุป!$C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" s="9">
        <f>AA6+SUMIFS('บันทึกของเข้า-ออก'!$J:$J,'บันทึกของเข้า-ออก'!$B:$B,สรุป!$C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6" s="9">
        <f>AB6+SUMIFS('บันทึกของเข้า-ออก'!$J:$J,'บันทึกของเข้า-ออก'!$B:$B,สรุป!$C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" s="9">
        <f>AC6+SUMIFS('บันทึกของเข้า-ออก'!$J:$J,'บันทึกของเข้า-ออก'!$B:$B,สรุป!$C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J$5,'บันทึกของเข้า-ออก'!$D:$D,"&gt;="&amp;สรุป!$F$2,'บันทึกของเข้า-ออก'!$D:$D,"&lt;="&amp;สรุป!$G$2)</f>
        <v>5</v>
      </c>
      <c r="K6" s="9">
        <f>AD6+SUMIFS('บันทึกของเข้า-ออก'!$J:$J,'บันทึกของเข้า-ออก'!$B:$B,สรุป!$C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" s="9">
        <f>AE6+SUMIFS('บันทึกของเข้า-ออก'!$J:$J,'บันทึกของเข้า-ออก'!$B:$B,สรุป!$C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" s="9">
        <f>AF6+SUMIFS('บันทึกของเข้า-ออก'!$J:$J,'บันทึกของเข้า-ออก'!$B:$B,สรุป!$C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" s="9">
        <f>AG6+SUMIFS('บันทึกของเข้า-ออก'!$J:$J,'บันทึกของเข้า-ออก'!$B:$B,สรุป!$C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" s="9">
        <f>AH6+SUMIFS('บันทึกของเข้า-ออก'!$J:$J,'บันทึกของเข้า-ออก'!$B:$B,สรุป!$C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6" s="9">
        <f>AI6+SUMIFS('บันทึกของเข้า-ออก'!$J:$J,'บันทึกของเข้า-ออก'!$B:$B,สรุป!$C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" s="9">
        <f>AJ6+SUMIFS('บันทึกของเข้า-ออก'!$J:$J,'บันทึกของเข้า-ออก'!$B:$B,สรุป!$C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" s="9">
        <f>AK6+SUMIFS('บันทึกของเข้า-ออก'!$J:$J,'บันทึกของเข้า-ออก'!$B:$B,สรุป!$C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" s="26"/>
      <c r="T6" s="33"/>
      <c r="U6" s="34"/>
      <c r="V6" s="25" t="str">
        <f>C6</f>
        <v>เข็มขัดเซฟตี้</v>
      </c>
      <c r="W6" s="44">
        <v>8</v>
      </c>
      <c r="X6" s="35" t="s">
        <v>58</v>
      </c>
      <c r="Y6" s="26">
        <v>0</v>
      </c>
      <c r="Z6" s="26">
        <v>0</v>
      </c>
      <c r="AA6" s="26">
        <v>3</v>
      </c>
      <c r="AB6" s="26">
        <v>0</v>
      </c>
      <c r="AC6" s="26">
        <v>5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34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</row>
    <row r="7" spans="2:68" x14ac:dyDescent="0.3">
      <c r="B7" s="43" t="s">
        <v>129</v>
      </c>
      <c r="C7" s="6" t="s">
        <v>286</v>
      </c>
      <c r="D7" s="79">
        <f t="shared" si="0"/>
        <v>0</v>
      </c>
      <c r="E7" s="6" t="s">
        <v>56</v>
      </c>
      <c r="F7" s="9">
        <f>Y7+SUMIFS('บันทึกของเข้า-ออก'!$J:$J,'บันทึกของเข้า-ออก'!$B:$B,สรุป!$C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" s="9">
        <f>Z7+SUMIFS('บันทึกของเข้า-ออก'!$J:$J,'บันทึกของเข้า-ออก'!$B:$B,สรุป!$C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" s="9">
        <f>AA7+SUMIFS('บันทึกของเข้า-ออก'!$J:$J,'บันทึกของเข้า-ออก'!$B:$B,สรุป!$C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" s="9">
        <f>AB7+SUMIFS('บันทึกของเข้า-ออก'!$J:$J,'บันทึกของเข้า-ออก'!$B:$B,สรุป!$C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" s="9">
        <f>AC7+SUMIFS('บันทึกของเข้า-ออก'!$J:$J,'บันทึกของเข้า-ออก'!$B:$B,สรุป!$C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" s="9">
        <f>AD7+SUMIFS('บันทึกของเข้า-ออก'!$J:$J,'บันทึกของเข้า-ออก'!$B:$B,สรุป!$C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" s="9">
        <f>AE7+SUMIFS('บันทึกของเข้า-ออก'!$J:$J,'บันทึกของเข้า-ออก'!$B:$B,สรุป!$C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" s="9">
        <f>AF7+SUMIFS('บันทึกของเข้า-ออก'!$J:$J,'บันทึกของเข้า-ออก'!$B:$B,สรุป!$C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" s="9">
        <f>AG7+SUMIFS('บันทึกของเข้า-ออก'!$J:$J,'บันทึกของเข้า-ออก'!$B:$B,สรุป!$C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" s="9">
        <f>AH7+SUMIFS('บันทึกของเข้า-ออก'!$J:$J,'บันทึกของเข้า-ออก'!$B:$B,สรุป!$C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" s="9">
        <f>AI7+SUMIFS('บันทึกของเข้า-ออก'!$J:$J,'บันทึกของเข้า-ออก'!$B:$B,สรุป!$C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" s="9">
        <f>AJ7+SUMIFS('บันทึกของเข้า-ออก'!$J:$J,'บันทึกของเข้า-ออก'!$B:$B,สรุป!$C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" s="9">
        <f>AK7+SUMIFS('บันทึกของเข้า-ออก'!$J:$J,'บันทึกของเข้า-ออก'!$B:$B,สรุป!$C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" s="9">
        <f>AL7+SUMIFS('บันทึกของเข้า-ออก'!$J:$J,'บันทึกของเข้า-ออก'!$B:$B,สรุป!$C7,'บันทึกของเข้า-ออก'!$L:$L,สรุป!S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,'บันทึกของเข้า-ออก'!$F:$F,สรุป!S$5,'บันทึกของเข้า-ออก'!$D:$D,"&gt;="&amp;สรุป!$F$2,'บันทึกของเข้า-ออก'!$D:$D,"&lt;="&amp;สรุป!$G$2)</f>
        <v>0</v>
      </c>
      <c r="T7" s="33"/>
      <c r="U7" s="34"/>
      <c r="V7" s="6" t="s">
        <v>286</v>
      </c>
      <c r="W7" s="44">
        <v>3</v>
      </c>
      <c r="X7" s="35" t="s">
        <v>56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34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</row>
    <row r="8" spans="2:68" x14ac:dyDescent="0.3">
      <c r="B8" s="43" t="s">
        <v>129</v>
      </c>
      <c r="C8" s="6" t="s">
        <v>250</v>
      </c>
      <c r="D8" s="79">
        <f t="shared" si="0"/>
        <v>0</v>
      </c>
      <c r="E8" s="6" t="s">
        <v>85</v>
      </c>
      <c r="F8" s="9">
        <f>Y8+SUMIFS('บันทึกของเข้า-ออก'!$J:$J,'บันทึกของเข้า-ออก'!$B:$B,สรุป!$C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" s="9">
        <f>Z8+SUMIFS('บันทึกของเข้า-ออก'!$J:$J,'บันทึกของเข้า-ออก'!$B:$B,สรุป!$C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" s="9">
        <f>AA8+SUMIFS('บันทึกของเข้า-ออก'!$J:$J,'บันทึกของเข้า-ออก'!$B:$B,สรุป!$C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" s="9">
        <f>AB8+SUMIFS('บันทึกของเข้า-ออก'!$J:$J,'บันทึกของเข้า-ออก'!$B:$B,สรุป!$C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" s="9">
        <f>AC8+SUMIFS('บันทึกของเข้า-ออก'!$J:$J,'บันทึกของเข้า-ออก'!$B:$B,สรุป!$C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" s="9">
        <f>AD8+SUMIFS('บันทึกของเข้า-ออก'!$J:$J,'บันทึกของเข้า-ออก'!$B:$B,สรุป!$C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" s="9">
        <f>AE8+SUMIFS('บันทึกของเข้า-ออก'!$J:$J,'บันทึกของเข้า-ออก'!$B:$B,สรุป!$C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" s="9">
        <f>AF8+SUMIFS('บันทึกของเข้า-ออก'!$J:$J,'บันทึกของเข้า-ออก'!$B:$B,สรุป!$C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" s="9">
        <f>AG8+SUMIFS('บันทึกของเข้า-ออก'!$J:$J,'บันทึกของเข้า-ออก'!$B:$B,สรุป!$C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" s="9">
        <f>AH8+SUMIFS('บันทึกของเข้า-ออก'!$J:$J,'บันทึกของเข้า-ออก'!$B:$B,สรุป!$C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" s="9">
        <f>AI8+SUMIFS('บันทึกของเข้า-ออก'!$J:$J,'บันทึกของเข้า-ออก'!$B:$B,สรุป!$C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" s="9">
        <f>AJ8+SUMIFS('บันทึกของเข้า-ออก'!$J:$J,'บันทึกของเข้า-ออก'!$B:$B,สรุป!$C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" s="9">
        <f>AK8+SUMIFS('บันทึกของเข้า-ออก'!$J:$J,'บันทึกของเข้า-ออก'!$B:$B,สรุป!$C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" s="26"/>
      <c r="T8" s="33"/>
      <c r="U8" s="34"/>
      <c r="V8" s="25" t="str">
        <f t="shared" ref="V8:V32" si="1">C8</f>
        <v>ผ้ากันสะเก็ดไฟ</v>
      </c>
      <c r="W8" s="44">
        <v>2</v>
      </c>
      <c r="X8" s="35" t="s">
        <v>85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34"/>
    </row>
    <row r="9" spans="2:68" x14ac:dyDescent="0.3">
      <c r="B9" s="43" t="s">
        <v>129</v>
      </c>
      <c r="C9" s="6" t="s">
        <v>206</v>
      </c>
      <c r="D9" s="79">
        <f t="shared" si="0"/>
        <v>2</v>
      </c>
      <c r="E9" s="6" t="s">
        <v>79</v>
      </c>
      <c r="F9" s="9">
        <f>Y9+SUMIFS('บันทึกของเข้า-ออก'!$J:$J,'บันทึกของเข้า-ออก'!$B:$B,สรุป!$C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" s="9">
        <v>2</v>
      </c>
      <c r="H9" s="9">
        <f>AA9+SUMIFS('บันทึกของเข้า-ออก'!$J:$J,'บันทึกของเข้า-ออก'!$B:$B,สรุป!$C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" s="9">
        <f>AB9+SUMIFS('บันทึกของเข้า-ออก'!$J:$J,'บันทึกของเข้า-ออก'!$B:$B,สรุป!$C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" s="9">
        <f>AC9+SUMIFS('บันทึกของเข้า-ออก'!$J:$J,'บันทึกของเข้า-ออก'!$B:$B,สรุป!$C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" s="9">
        <f>AD9+SUMIFS('บันทึกของเข้า-ออก'!$J:$J,'บันทึกของเข้า-ออก'!$B:$B,สรุป!$C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" s="9">
        <f>AE9+SUMIFS('บันทึกของเข้า-ออก'!$J:$J,'บันทึกของเข้า-ออก'!$B:$B,สรุป!$C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" s="9">
        <f>AF9+SUMIFS('บันทึกของเข้า-ออก'!$J:$J,'บันทึกของเข้า-ออก'!$B:$B,สรุป!$C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" s="9">
        <f>AG9+SUMIFS('บันทึกของเข้า-ออก'!$J:$J,'บันทึกของเข้า-ออก'!$B:$B,สรุป!$C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" s="9">
        <f>AH9+SUMIFS('บันทึกของเข้า-ออก'!$J:$J,'บันทึกของเข้า-ออก'!$B:$B,สรุป!$C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" s="9">
        <f>AI9+SUMIFS('บันทึกของเข้า-ออก'!$J:$J,'บันทึกของเข้า-ออก'!$B:$B,สรุป!$C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" s="9">
        <f>AJ9+SUMIFS('บันทึกของเข้า-ออก'!$J:$J,'บันทึกของเข้า-ออก'!$B:$B,สรุป!$C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" s="9">
        <f>AK9+SUMIFS('บันทึกของเข้า-ออก'!$J:$J,'บันทึกของเข้า-ออก'!$B:$B,สรุป!$C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" s="26"/>
      <c r="T9" s="33"/>
      <c r="U9" s="34"/>
      <c r="V9" s="25" t="str">
        <f t="shared" si="1"/>
        <v>ถังดับเพลิง</v>
      </c>
      <c r="W9" s="44">
        <v>4</v>
      </c>
      <c r="X9" s="35" t="s">
        <v>79</v>
      </c>
      <c r="Y9" s="26">
        <v>0</v>
      </c>
      <c r="Z9" s="26">
        <v>2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34"/>
    </row>
    <row r="10" spans="2:68" x14ac:dyDescent="0.3">
      <c r="B10" s="43" t="s">
        <v>129</v>
      </c>
      <c r="C10" s="6" t="s">
        <v>146</v>
      </c>
      <c r="D10" s="79">
        <f t="shared" si="0"/>
        <v>0</v>
      </c>
      <c r="E10" s="6" t="s">
        <v>58</v>
      </c>
      <c r="F10" s="9">
        <f>Y10+SUMIFS('บันทึกของเข้า-ออก'!$J:$J,'บันทึกของเข้า-ออก'!$B:$B,สรุป!$C10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" s="9">
        <f>Z10+SUMIFS('บันทึกของเข้า-ออก'!$J:$J,'บันทึกของเข้า-ออก'!$B:$B,สรุป!$C10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" s="9">
        <f>AA10+SUMIFS('บันทึกของเข้า-ออก'!$J:$J,'บันทึกของเข้า-ออก'!$B:$B,สรุป!$C10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" s="9">
        <f>AB10+SUMIFS('บันทึกของเข้า-ออก'!$J:$J,'บันทึกของเข้า-ออก'!$B:$B,สรุป!$C10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" s="9">
        <f>AC10+SUMIFS('บันทึกของเข้า-ออก'!$J:$J,'บันทึกของเข้า-ออก'!$B:$B,สรุป!$C10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" s="9">
        <f>AD10+SUMIFS('บันทึกของเข้า-ออก'!$J:$J,'บันทึกของเข้า-ออก'!$B:$B,สรุป!$C10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" s="9">
        <f>AE10+SUMIFS('บันทึกของเข้า-ออก'!$J:$J,'บันทึกของเข้า-ออก'!$B:$B,สรุป!$C10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" s="9">
        <f>AF10+SUMIFS('บันทึกของเข้า-ออก'!$J:$J,'บันทึกของเข้า-ออก'!$B:$B,สรุป!$C10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" s="9">
        <f>AG10+SUMIFS('บันทึกของเข้า-ออก'!$J:$J,'บันทึกของเข้า-ออก'!$B:$B,สรุป!$C10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" s="9">
        <f>AH10+SUMIFS('บันทึกของเข้า-ออก'!$J:$J,'บันทึกของเข้า-ออก'!$B:$B,สรุป!$C10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" s="9">
        <f>AI10+SUMIFS('บันทึกของเข้า-ออก'!$J:$J,'บันทึกของเข้า-ออก'!$B:$B,สรุป!$C10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" s="9">
        <f>AJ10+SUMIFS('บันทึกของเข้า-ออก'!$J:$J,'บันทึกของเข้า-ออก'!$B:$B,สรุป!$C10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" s="9">
        <f>AK10+SUMIFS('บันทึกของเข้า-ออก'!$J:$J,'บันทึกของเข้า-ออก'!$B:$B,สรุป!$C10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" s="26"/>
      <c r="T10" s="33"/>
      <c r="U10" s="34"/>
      <c r="V10" s="25" t="str">
        <f t="shared" si="1"/>
        <v>หมวกเซฟตี้</v>
      </c>
      <c r="W10" s="44">
        <v>18</v>
      </c>
      <c r="X10" s="35" t="s">
        <v>58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>
        <v>0</v>
      </c>
      <c r="AI10" s="26">
        <v>0</v>
      </c>
      <c r="AJ10" s="26">
        <v>0</v>
      </c>
      <c r="AK10" s="26">
        <v>0</v>
      </c>
      <c r="AL10" s="34"/>
    </row>
    <row r="11" spans="2:68" x14ac:dyDescent="0.3">
      <c r="B11" s="43" t="s">
        <v>129</v>
      </c>
      <c r="C11" s="6" t="s">
        <v>230</v>
      </c>
      <c r="D11" s="79">
        <f t="shared" si="0"/>
        <v>223</v>
      </c>
      <c r="E11" s="6" t="s">
        <v>85</v>
      </c>
      <c r="F11" s="9">
        <f>Y11+SUMIFS('บันทึกของเข้า-ออก'!$J:$J,'บันทึกของเข้า-ออก'!$B:$B,สรุป!$C11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" s="9">
        <f>Z11+SUMIFS('บันทึกของเข้า-ออก'!$J:$J,'บันทึกของเข้า-ออก'!$B:$B,สรุป!$C11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G$5,'บันทึกของเข้า-ออก'!$D:$D,"&gt;="&amp;สรุป!$F$2,'บันทึกของเข้า-ออก'!$D:$D,"&lt;="&amp;สรุป!$G$2)</f>
        <v>40</v>
      </c>
      <c r="H11" s="9">
        <f>AA11+SUMIFS('บันทึกของเข้า-ออก'!$J:$J,'บันทึกของเข้า-ออก'!$B:$B,สรุป!$C11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H$5,'บันทึกของเข้า-ออก'!$D:$D,"&gt;="&amp;สรุป!$F$2,'บันทึกของเข้า-ออก'!$D:$D,"&lt;="&amp;สรุป!$G$2)</f>
        <v>175</v>
      </c>
      <c r="I11" s="9">
        <f>AB11+SUMIFS('บันทึกของเข้า-ออก'!$J:$J,'บันทึกของเข้า-ออก'!$B:$B,สรุป!$C11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" s="9">
        <f>AC11+SUMIFS('บันทึกของเข้า-ออก'!$J:$J,'บันทึกของเข้า-ออก'!$B:$B,สรุป!$C11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J$5,'บันทึกของเข้า-ออก'!$D:$D,"&gt;="&amp;สรุป!$F$2,'บันทึกของเข้า-ออก'!$D:$D,"&lt;="&amp;สรุป!$G$2)</f>
        <v>-18</v>
      </c>
      <c r="K11" s="9">
        <f>AD11+SUMIFS('บันทึกของเข้า-ออก'!$J:$J,'บันทึกของเข้า-ออก'!$B:$B,สรุป!$C11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" s="9">
        <f>AE11+SUMIFS('บันทึกของเข้า-ออก'!$J:$J,'บันทึกของเข้า-ออก'!$B:$B,สรุป!$C11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" s="9">
        <f>AF11+SUMIFS('บันทึกของเข้า-ออก'!$J:$J,'บันทึกของเข้า-ออก'!$B:$B,สรุป!$C11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" s="9">
        <f>AG11+SUMIFS('บันทึกของเข้า-ออก'!$J:$J,'บันทึกของเข้า-ออก'!$B:$B,สรุป!$C11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" s="9">
        <f>AH11+SUMIFS('บันทึกของเข้า-ออก'!$J:$J,'บันทึกของเข้า-ออก'!$B:$B,สรุป!$C11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O$5,'บันทึกของเข้า-ออก'!$D:$D,"&gt;="&amp;สรุป!$F$2,'บันทึกของเข้า-ออก'!$D:$D,"&lt;="&amp;สรุป!$G$2)</f>
        <v>8</v>
      </c>
      <c r="P11" s="9">
        <f>AI11+SUMIFS('บันทึกของเข้า-ออก'!$J:$J,'บันทึกของเข้า-ออก'!$B:$B,สรุป!$C11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" s="9">
        <f>AJ11+SUMIFS('บันทึกของเข้า-ออก'!$J:$J,'บันทึกของเข้า-ออก'!$B:$B,สรุป!$C11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" s="9">
        <f>AK11+SUMIFS('บันทึกของเข้า-ออก'!$J:$J,'บันทึกของเข้า-ออก'!$B:$B,สรุป!$C11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" s="26"/>
      <c r="T11" s="33"/>
      <c r="U11" s="34"/>
      <c r="V11" s="25" t="str">
        <f t="shared" si="1"/>
        <v>แมสชีส 1.80x5.10 ม.</v>
      </c>
      <c r="W11" s="44">
        <v>205</v>
      </c>
      <c r="X11" s="35" t="s">
        <v>85</v>
      </c>
      <c r="Y11" s="26">
        <v>0</v>
      </c>
      <c r="Z11" s="26">
        <v>40</v>
      </c>
      <c r="AA11" s="26">
        <v>95</v>
      </c>
      <c r="AB11" s="26">
        <v>0</v>
      </c>
      <c r="AC11" s="26">
        <v>70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34"/>
    </row>
    <row r="12" spans="2:68" x14ac:dyDescent="0.3">
      <c r="B12" s="43" t="s">
        <v>129</v>
      </c>
      <c r="C12" s="45" t="s">
        <v>159</v>
      </c>
      <c r="D12" s="79">
        <f t="shared" si="0"/>
        <v>0</v>
      </c>
      <c r="E12" s="6" t="s">
        <v>85</v>
      </c>
      <c r="F12" s="9">
        <f>Y12+SUMIFS('บันทึกของเข้า-ออก'!$J:$J,'บันทึกของเข้า-ออก'!$B:$B,สรุป!$C12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" s="9">
        <f>Z12+SUMIFS('บันทึกของเข้า-ออก'!$J:$J,'บันทึกของเข้า-ออก'!$B:$B,สรุป!$C12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" s="9">
        <f>AA12+SUMIFS('บันทึกของเข้า-ออก'!$J:$J,'บันทึกของเข้า-ออก'!$B:$B,สรุป!$C12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" s="9">
        <f>AB12+SUMIFS('บันทึกของเข้า-ออก'!$J:$J,'บันทึกของเข้า-ออก'!$B:$B,สรุป!$C12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" s="57">
        <f>AC12+SUMIFS('บันทึกของเข้า-ออก'!$J:$J,'บันทึกของเข้า-ออก'!$B:$B,สรุป!$C12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" s="9">
        <f>AD12+SUMIFS('บันทึกของเข้า-ออก'!$J:$J,'บันทึกของเข้า-ออก'!$B:$B,สรุป!$C12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" s="9">
        <f>AE12+SUMIFS('บันทึกของเข้า-ออก'!$J:$J,'บันทึกของเข้า-ออก'!$B:$B,สรุป!$C12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" s="9">
        <f>AF12+SUMIFS('บันทึกของเข้า-ออก'!$J:$J,'บันทึกของเข้า-ออก'!$B:$B,สรุป!$C12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" s="9">
        <f>AG12+SUMIFS('บันทึกของเข้า-ออก'!$J:$J,'บันทึกของเข้า-ออก'!$B:$B,สรุป!$C12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" s="9">
        <f>AH12+SUMIFS('บันทึกของเข้า-ออก'!$J:$J,'บันทึกของเข้า-ออก'!$B:$B,สรุป!$C12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2" s="9">
        <f>AI12+SUMIFS('บันทึกของเข้า-ออก'!$J:$J,'บันทึกของเข้า-ออก'!$B:$B,สรุป!$C12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" s="9">
        <f>AJ12+SUMIFS('บันทึกของเข้า-ออก'!$J:$J,'บันทึกของเข้า-ออก'!$B:$B,สรุป!$C12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" s="9">
        <f>AK12+SUMIFS('บันทึกของเข้า-ออก'!$J:$J,'บันทึกของเข้า-ออก'!$B:$B,สรุป!$C12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" s="26" t="s">
        <v>351</v>
      </c>
      <c r="T12" s="33"/>
      <c r="U12" s="34"/>
      <c r="V12" s="25" t="str">
        <f t="shared" si="1"/>
        <v>บลูชีส</v>
      </c>
      <c r="W12" s="44">
        <v>28</v>
      </c>
      <c r="X12" s="35" t="s">
        <v>85</v>
      </c>
      <c r="Y12" s="26">
        <v>0</v>
      </c>
      <c r="Z12" s="26">
        <v>0</v>
      </c>
      <c r="AA12" s="26">
        <v>0</v>
      </c>
      <c r="AB12" s="26">
        <v>0</v>
      </c>
      <c r="AC12" s="26"/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L12" s="34"/>
    </row>
    <row r="13" spans="2:68" x14ac:dyDescent="0.3">
      <c r="B13" s="43" t="s">
        <v>130</v>
      </c>
      <c r="C13" s="6" t="s">
        <v>122</v>
      </c>
      <c r="D13" s="79">
        <v>5</v>
      </c>
      <c r="E13" s="6" t="s">
        <v>59</v>
      </c>
      <c r="F13" s="9">
        <f>Y13+SUMIFS('บันทึกของเข้า-ออก'!$J:$J,'บันทึกของเข้า-ออก'!$B:$B,สรุป!$C13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3" s="9">
        <f>Z13+SUMIFS('บันทึกของเข้า-ออก'!$J:$J,'บันทึกของเข้า-ออก'!$B:$B,สรุป!$C13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" s="9">
        <f>AA13+SUMIFS('บันทึกของเข้า-ออก'!$J:$J,'บันทึกของเข้า-ออก'!$B:$B,สรุป!$C13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" s="9">
        <f>AB13+SUMIFS('บันทึกของเข้า-ออก'!$J:$J,'บันทึกของเข้า-ออก'!$B:$B,สรุป!$C13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" s="9">
        <f>AC13+SUMIFS('บันทึกของเข้า-ออก'!$J:$J,'บันทึกของเข้า-ออก'!$B:$B,สรุป!$C13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3" s="9">
        <f>AD13+SUMIFS('บันทึกของเข้า-ออก'!$J:$J,'บันทึกของเข้า-ออก'!$B:$B,สรุป!$C13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" s="9">
        <f>AE13+SUMIFS('บันทึกของเข้า-ออก'!$J:$J,'บันทึกของเข้า-ออก'!$B:$B,สรุป!$C13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" s="9">
        <f>AF13+SUMIFS('บันทึกของเข้า-ออก'!$J:$J,'บันทึกของเข้า-ออก'!$B:$B,สรุป!$C13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3" s="9">
        <f>AG13+SUMIFS('บันทึกของเข้า-ออก'!$J:$J,'บันทึกของเข้า-ออก'!$B:$B,สรุป!$C13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" s="9">
        <f>AH13+SUMIFS('บันทึกของเข้า-ออก'!$J:$J,'บันทึกของเข้า-ออก'!$B:$B,สรุป!$C13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O$5,'บันทึกของเข้า-ออก'!$D:$D,"&gt;="&amp;สรุป!$F$2,'บันทึกของเข้า-ออก'!$D:$D,"&lt;="&amp;สรุป!$G$2)</f>
        <v>5</v>
      </c>
      <c r="P13" s="9">
        <f>AI13+SUMIFS('บันทึกของเข้า-ออก'!$J:$J,'บันทึกของเข้า-ออก'!$B:$B,สรุป!$C13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" s="9">
        <f>AJ13+SUMIFS('บันทึกของเข้า-ออก'!$J:$J,'บันทึกของเข้า-ออก'!$B:$B,สรุป!$C13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" s="9">
        <f>AK13+SUMIFS('บันทึกของเข้า-ออก'!$J:$J,'บันทึกของเข้า-ออก'!$B:$B,สรุป!$C13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" s="26"/>
      <c r="T13" s="33"/>
      <c r="U13" s="34"/>
      <c r="V13" s="25" t="str">
        <f t="shared" si="1"/>
        <v>แผ่นเหล็กปูทาง 1.2*2.4</v>
      </c>
      <c r="W13" s="44">
        <v>5</v>
      </c>
      <c r="X13" s="35" t="s">
        <v>59</v>
      </c>
      <c r="Y13" s="26">
        <v>0</v>
      </c>
      <c r="Z13" s="26">
        <v>0</v>
      </c>
      <c r="AA13" s="26">
        <v>0</v>
      </c>
      <c r="AB13" s="26">
        <v>0</v>
      </c>
      <c r="AC13" s="26">
        <v>5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34"/>
    </row>
    <row r="14" spans="2:68" x14ac:dyDescent="0.3">
      <c r="B14" s="43" t="s">
        <v>130</v>
      </c>
      <c r="C14" s="6" t="s">
        <v>241</v>
      </c>
      <c r="D14" s="79">
        <f t="shared" ref="D14:D22" si="2">SUMIF(F14:T14,"&gt;0")</f>
        <v>9</v>
      </c>
      <c r="E14" s="6" t="s">
        <v>79</v>
      </c>
      <c r="F14" s="9">
        <f>Y14+SUMIFS('บันทึกของเข้า-ออก'!$J:$J,'บันทึกของเข้า-ออก'!$B:$B,สรุป!$C14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4" s="9">
        <f>Z14+SUMIFS('บันทึกของเข้า-ออก'!$J:$J,'บันทึกของเข้า-ออก'!$B:$B,สรุป!$C14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14" s="9">
        <f>AA14+SUMIFS('บันทึกของเข้า-ออก'!$J:$J,'บันทึกของเข้า-ออก'!$B:$B,สรุป!$C14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H$5,'บันทึกของเข้า-ออก'!$D:$D,"&gt;="&amp;สรุป!$F$2,'บันทึกของเข้า-ออก'!$D:$D,"&lt;="&amp;สรุป!$G$2)</f>
        <v>5</v>
      </c>
      <c r="I14" s="9">
        <f>AB14+SUMIFS('บันทึกของเข้า-ออก'!$J:$J,'บันทึกของเข้า-ออก'!$B:$B,สรุป!$C14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" s="9">
        <f>AC14+SUMIFS('บันทึกของเข้า-ออก'!$J:$J,'บันทึกของเข้า-ออก'!$B:$B,สรุป!$C14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4" s="9">
        <f>AD14+SUMIFS('บันทึกของเข้า-ออก'!$J:$J,'บันทึกของเข้า-ออก'!$B:$B,สรุป!$C14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" s="9">
        <f>AE14+SUMIFS('บันทึกของเข้า-ออก'!$J:$J,'บันทึกของเข้า-ออก'!$B:$B,สรุป!$C14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" s="9">
        <f>AF14+SUMIFS('บันทึกของเข้า-ออก'!$J:$J,'บันทึกของเข้า-ออก'!$B:$B,สรุป!$C14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M$5,'บันทึกของเข้า-ออก'!$D:$D,"&gt;="&amp;สรุป!$F$2,'บันทึกของเข้า-ออก'!$D:$D,"&lt;="&amp;สรุป!$G$2)</f>
        <v>2</v>
      </c>
      <c r="N14" s="9">
        <f>AG14+SUMIFS('บันทึกของเข้า-ออก'!$J:$J,'บันทึกของเข้า-ออก'!$B:$B,สรุป!$C14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4" s="9">
        <f>AH14+SUMIFS('บันทึกของเข้า-ออก'!$J:$J,'บันทึกของเข้า-ออก'!$B:$B,สรุป!$C14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14" s="9">
        <f>AI14+SUMIFS('บันทึกของเข้า-ออก'!$J:$J,'บันทึกของเข้า-ออก'!$B:$B,สรุป!$C14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" s="9">
        <f>AJ14+SUMIFS('บันทึกของเข้า-ออก'!$J:$J,'บันทึกของเข้า-ออก'!$B:$B,สรุป!$C14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" s="9">
        <f>AK14+SUMIFS('บันทึกของเข้า-ออก'!$J:$J,'บันทึกของเข้า-ออก'!$B:$B,สรุป!$C14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" s="26"/>
      <c r="T14" s="33"/>
      <c r="U14" s="34"/>
      <c r="V14" s="25" t="str">
        <f t="shared" si="1"/>
        <v>ถังน้ำ 200 ลิตร</v>
      </c>
      <c r="W14" s="44">
        <v>4</v>
      </c>
      <c r="X14" s="35" t="s">
        <v>79</v>
      </c>
      <c r="Y14" s="26">
        <v>0</v>
      </c>
      <c r="Z14" s="26">
        <v>1</v>
      </c>
      <c r="AA14" s="26">
        <v>5</v>
      </c>
      <c r="AB14" s="26">
        <v>0</v>
      </c>
      <c r="AC14" s="26">
        <v>0</v>
      </c>
      <c r="AD14" s="26">
        <v>0</v>
      </c>
      <c r="AE14" s="26">
        <v>0</v>
      </c>
      <c r="AF14" s="26">
        <v>2</v>
      </c>
      <c r="AG14" s="26">
        <v>0</v>
      </c>
      <c r="AH14" s="26">
        <v>1</v>
      </c>
      <c r="AI14" s="26">
        <v>0</v>
      </c>
      <c r="AJ14" s="26">
        <v>0</v>
      </c>
      <c r="AK14" s="26">
        <v>0</v>
      </c>
      <c r="AL14" s="34"/>
    </row>
    <row r="15" spans="2:68" x14ac:dyDescent="0.3">
      <c r="B15" s="43" t="s">
        <v>130</v>
      </c>
      <c r="C15" s="6" t="s">
        <v>132</v>
      </c>
      <c r="D15" s="79">
        <f t="shared" si="2"/>
        <v>2</v>
      </c>
      <c r="E15" s="6" t="s">
        <v>79</v>
      </c>
      <c r="F15" s="9">
        <f>Y15+SUMIFS('บันทึกของเข้า-ออก'!$J:$J,'บันทึกของเข้า-ออก'!$B:$B,สรุป!$C15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" s="9">
        <f>Z15+SUMIFS('บันทึกของเข้า-ออก'!$J:$J,'บันทึกของเข้า-ออก'!$B:$B,สรุป!$C15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" s="9">
        <f>AA15+SUMIFS('บันทึกของเข้า-ออก'!$J:$J,'บันทึกของเข้า-ออก'!$B:$B,สรุป!$C15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H$5,'บันทึกของเข้า-ออก'!$D:$D,"&gt;="&amp;สรุป!$F$2,'บันทึกของเข้า-ออก'!$D:$D,"&lt;="&amp;สรุป!$G$2)</f>
        <v>2</v>
      </c>
      <c r="I15" s="9">
        <f>AB15+SUMIFS('บันทึกของเข้า-ออก'!$J:$J,'บันทึกของเข้า-ออก'!$B:$B,สรุป!$C15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" s="9">
        <f>AC15+SUMIFS('บันทึกของเข้า-ออก'!$J:$J,'บันทึกของเข้า-ออก'!$B:$B,สรุป!$C15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" s="9">
        <f>AD15+SUMIFS('บันทึกของเข้า-ออก'!$J:$J,'บันทึกของเข้า-ออก'!$B:$B,สรุป!$C15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" s="9">
        <f>AE15+SUMIFS('บันทึกของเข้า-ออก'!$J:$J,'บันทึกของเข้า-ออก'!$B:$B,สรุป!$C15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" s="9">
        <f>AF15+SUMIFS('บันทึกของเข้า-ออก'!$J:$J,'บันทึกของเข้า-ออก'!$B:$B,สรุป!$C15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" s="9">
        <f>AG15+SUMIFS('บันทึกของเข้า-ออก'!$J:$J,'บันทึกของเข้า-ออก'!$B:$B,สรุป!$C15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" s="9">
        <f>AH15+SUMIFS('บันทึกของเข้า-ออก'!$J:$J,'บันทึกของเข้า-ออก'!$B:$B,สรุป!$C15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" s="9">
        <f>AI15+SUMIFS('บันทึกของเข้า-ออก'!$J:$J,'บันทึกของเข้า-ออก'!$B:$B,สรุป!$C15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" s="9">
        <f>AJ15+SUMIFS('บันทึกของเข้า-ออก'!$J:$J,'บันทึกของเข้า-ออก'!$B:$B,สรุป!$C15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" s="9">
        <f>AK15+SUMIFS('บันทึกของเข้า-ออก'!$J:$J,'บันทึกของเข้า-ออก'!$B:$B,สรุป!$C15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" s="26"/>
      <c r="T15" s="33"/>
      <c r="U15" s="34"/>
      <c r="V15" s="25" t="str">
        <f t="shared" si="1"/>
        <v>ถังเก็บน้ำ 500 ลิตร</v>
      </c>
      <c r="W15" s="44">
        <v>1</v>
      </c>
      <c r="X15" s="35" t="s">
        <v>79</v>
      </c>
      <c r="Y15" s="26">
        <v>0</v>
      </c>
      <c r="Z15" s="26">
        <v>0</v>
      </c>
      <c r="AA15" s="26">
        <v>2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34"/>
    </row>
    <row r="16" spans="2:68" x14ac:dyDescent="0.3">
      <c r="B16" s="43" t="s">
        <v>130</v>
      </c>
      <c r="C16" s="6" t="s">
        <v>133</v>
      </c>
      <c r="D16" s="79">
        <f t="shared" si="2"/>
        <v>7</v>
      </c>
      <c r="E16" s="6" t="s">
        <v>79</v>
      </c>
      <c r="F16" s="9">
        <f>Y16+SUMIFS('บันทึกของเข้า-ออก'!$J:$J,'บันทึกของเข้า-ออก'!$B:$B,สรุป!$C16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" s="9">
        <f>Z16+SUMIFS('บันทึกของเข้า-ออก'!$J:$J,'บันทึกของเข้า-ออก'!$B:$B,สรุป!$C16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" s="9">
        <f>AA16+SUMIFS('บันทึกของเข้า-ออก'!$J:$J,'บันทึกของเข้า-ออก'!$B:$B,สรุป!$C16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16" s="9">
        <f>AB16+SUMIFS('บันทึกของเข้า-ออก'!$J:$J,'บันทึกของเข้า-ออก'!$B:$B,สรุป!$C16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" s="9">
        <f>AC16+SUMIFS('บันทึกของเข้า-ออก'!$J:$J,'บันทึกของเข้า-ออก'!$B:$B,สรุป!$C16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16" s="9">
        <f>AD16+SUMIFS('บันทึกของเข้า-ออก'!$J:$J,'บันทึกของเข้า-ออก'!$B:$B,สรุป!$C16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" s="9">
        <f>AE16+SUMIFS('บันทึกของเข้า-ออก'!$J:$J,'บันทึกของเข้า-ออก'!$B:$B,สรุป!$C16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" s="9">
        <f>AF16+SUMIFS('บันทึกของเข้า-ออก'!$J:$J,'บันทึกของเข้า-ออก'!$B:$B,สรุป!$C16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M$5,'บันทึกของเข้า-ออก'!$D:$D,"&gt;="&amp;สรุป!$F$2,'บันทึกของเข้า-ออก'!$D:$D,"&lt;="&amp;สรุป!$G$2)</f>
        <v>4</v>
      </c>
      <c r="N16" s="9">
        <f>AG16+SUMIFS('บันทึกของเข้า-ออก'!$J:$J,'บันทึกของเข้า-ออก'!$B:$B,สรุป!$C16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" s="9">
        <f>AH16+SUMIFS('บันทึกของเข้า-ออก'!$J:$J,'บันทึกของเข้า-ออก'!$B:$B,สรุป!$C16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16" s="9">
        <f>AI16+SUMIFS('บันทึกของเข้า-ออก'!$J:$J,'บันทึกของเข้า-ออก'!$B:$B,สรุป!$C16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" s="9">
        <f>AJ16+SUMIFS('บันทึกของเข้า-ออก'!$J:$J,'บันทึกของเข้า-ออก'!$B:$B,สรุป!$C16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" s="9">
        <f>AK16+SUMIFS('บันทึกของเข้า-ออก'!$J:$J,'บันทึกของเข้า-ออก'!$B:$B,สรุป!$C16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" s="26"/>
      <c r="T16" s="33"/>
      <c r="U16" s="34"/>
      <c r="V16" s="25" t="str">
        <f t="shared" si="1"/>
        <v>ถังเก็บน้ำ 1000 ลิตร</v>
      </c>
      <c r="W16" s="44">
        <v>6</v>
      </c>
      <c r="X16" s="35" t="s">
        <v>79</v>
      </c>
      <c r="Y16" s="26">
        <v>0</v>
      </c>
      <c r="Z16" s="26">
        <v>0</v>
      </c>
      <c r="AA16" s="26">
        <v>1</v>
      </c>
      <c r="AB16" s="26">
        <v>0</v>
      </c>
      <c r="AC16" s="26">
        <v>1</v>
      </c>
      <c r="AD16" s="26">
        <v>0</v>
      </c>
      <c r="AE16" s="26">
        <v>0</v>
      </c>
      <c r="AF16" s="26">
        <v>4</v>
      </c>
      <c r="AG16" s="26">
        <v>0</v>
      </c>
      <c r="AH16" s="26">
        <v>1</v>
      </c>
      <c r="AI16" s="26">
        <v>0</v>
      </c>
      <c r="AJ16" s="26">
        <v>0</v>
      </c>
      <c r="AK16" s="26">
        <v>0</v>
      </c>
      <c r="AL16" s="34"/>
    </row>
    <row r="17" spans="2:38" x14ac:dyDescent="0.3">
      <c r="B17" s="43" t="s">
        <v>130</v>
      </c>
      <c r="C17" s="6" t="s">
        <v>134</v>
      </c>
      <c r="D17" s="79">
        <f t="shared" si="2"/>
        <v>0</v>
      </c>
      <c r="E17" s="6" t="s">
        <v>79</v>
      </c>
      <c r="F17" s="9">
        <f>Y17+SUMIFS('บันทึกของเข้า-ออก'!$J:$J,'บันทึกของเข้า-ออก'!$B:$B,สรุป!$C17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" s="9">
        <f>Z17+SUMIFS('บันทึกของเข้า-ออก'!$J:$J,'บันทึกของเข้า-ออก'!$B:$B,สรุป!$C17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" s="9">
        <f>AA17+SUMIFS('บันทึกของเข้า-ออก'!$J:$J,'บันทึกของเข้า-ออก'!$B:$B,สรุป!$C17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" s="9">
        <f>AB17+SUMIFS('บันทึกของเข้า-ออก'!$J:$J,'บันทึกของเข้า-ออก'!$B:$B,สรุป!$C17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" s="9">
        <f>AC17+SUMIFS('บันทึกของเข้า-ออก'!$J:$J,'บันทึกของเข้า-ออก'!$B:$B,สรุป!$C17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" s="9">
        <f>AD17+SUMIFS('บันทึกของเข้า-ออก'!$J:$J,'บันทึกของเข้า-ออก'!$B:$B,สรุป!$C17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" s="9">
        <f>AE17+SUMIFS('บันทึกของเข้า-ออก'!$J:$J,'บันทึกของเข้า-ออก'!$B:$B,สรุป!$C17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" s="9">
        <f>AF17+SUMIFS('บันทึกของเข้า-ออก'!$J:$J,'บันทึกของเข้า-ออก'!$B:$B,สรุป!$C17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" s="9">
        <f>AG17+SUMIFS('บันทึกของเข้า-ออก'!$J:$J,'บันทึกของเข้า-ออก'!$B:$B,สรุป!$C17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" s="9">
        <f>AH17+SUMIFS('บันทึกของเข้า-ออก'!$J:$J,'บันทึกของเข้า-ออก'!$B:$B,สรุป!$C17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" s="9">
        <f>AI17+SUMIFS('บันทึกของเข้า-ออก'!$J:$J,'บันทึกของเข้า-ออก'!$B:$B,สรุป!$C17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" s="9">
        <f>AJ17+SUMIFS('บันทึกของเข้า-ออก'!$J:$J,'บันทึกของเข้า-ออก'!$B:$B,สรุป!$C17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" s="9">
        <f>AK17+SUMIFS('บันทึกของเข้า-ออก'!$J:$J,'บันทึกของเข้า-ออก'!$B:$B,สรุป!$C17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" s="26"/>
      <c r="T17" s="33"/>
      <c r="U17" s="34"/>
      <c r="V17" s="25" t="str">
        <f t="shared" si="1"/>
        <v>ถังเก็บน้ำ 2000 ลิตร</v>
      </c>
      <c r="W17" s="44">
        <v>0</v>
      </c>
      <c r="X17" s="35" t="s">
        <v>79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34"/>
    </row>
    <row r="18" spans="2:38" x14ac:dyDescent="0.3">
      <c r="B18" s="43" t="s">
        <v>130</v>
      </c>
      <c r="C18" s="6" t="s">
        <v>77</v>
      </c>
      <c r="D18" s="79">
        <f t="shared" si="2"/>
        <v>1</v>
      </c>
      <c r="E18" s="6" t="s">
        <v>78</v>
      </c>
      <c r="F18" s="9">
        <f>Y18+SUMIFS('บันทึกของเข้า-ออก'!$J:$J,'บันทึกของเข้า-ออก'!$B:$B,สรุป!$C18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" s="9">
        <f>Z18+SUMIFS('บันทึกของเข้า-ออก'!$J:$J,'บันทึกของเข้า-ออก'!$B:$B,สรุป!$C18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" s="9">
        <f>AA18+SUMIFS('บันทึกของเข้า-ออก'!$J:$J,'บันทึกของเข้า-ออก'!$B:$B,สรุป!$C18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" s="9">
        <f>AB18+SUMIFS('บันทึกของเข้า-ออก'!$J:$J,'บันทึกของเข้า-ออก'!$B:$B,สรุป!$C18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" s="9">
        <f>AC18+SUMIFS('บันทึกของเข้า-ออก'!$J:$J,'บันทึกของเข้า-ออก'!$B:$B,สรุป!$C18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" s="9">
        <f>AD18+SUMIFS('บันทึกของเข้า-ออก'!$J:$J,'บันทึกของเข้า-ออก'!$B:$B,สรุป!$C18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" s="9">
        <f>AE18+SUMIFS('บันทึกของเข้า-ออก'!$J:$J,'บันทึกของเข้า-ออก'!$B:$B,สรุป!$C18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" s="9">
        <f>AF18+SUMIFS('บันทึกของเข้า-ออก'!$J:$J,'บันทึกของเข้า-ออก'!$B:$B,สรุป!$C18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18" s="9">
        <f>AG18+SUMIFS('บันทึกของเข้า-ออก'!$J:$J,'บันทึกของเข้า-ออก'!$B:$B,สรุป!$C18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" s="9">
        <f>AH18+SUMIFS('บันทึกของเข้า-ออก'!$J:$J,'บันทึกของเข้า-ออก'!$B:$B,สรุป!$C18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" s="9">
        <f>AI18+SUMIFS('บันทึกของเข้า-ออก'!$J:$J,'บันทึกของเข้า-ออก'!$B:$B,สรุป!$C18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" s="9">
        <f>AJ18+SUMIFS('บันทึกของเข้า-ออก'!$J:$J,'บันทึกของเข้า-ออก'!$B:$B,สรุป!$C18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" s="9">
        <f>AK18+SUMIFS('บันทึกของเข้า-ออก'!$J:$J,'บันทึกของเข้า-ออก'!$B:$B,สรุป!$C18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" s="26"/>
      <c r="T18" s="33"/>
      <c r="U18" s="34"/>
      <c r="V18" s="25" t="str">
        <f t="shared" si="1"/>
        <v>ห้องน้ำสนาม</v>
      </c>
      <c r="W18" s="44">
        <v>1</v>
      </c>
      <c r="X18" s="35" t="s">
        <v>78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1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34"/>
    </row>
    <row r="19" spans="2:38" x14ac:dyDescent="0.3">
      <c r="B19" s="43" t="s">
        <v>130</v>
      </c>
      <c r="C19" s="6" t="s">
        <v>214</v>
      </c>
      <c r="D19" s="79">
        <f t="shared" si="2"/>
        <v>1</v>
      </c>
      <c r="E19" s="6" t="s">
        <v>158</v>
      </c>
      <c r="F19" s="9">
        <f>Y19+SUMIFS('บันทึกของเข้า-ออก'!$J:$J,'บันทึกของเข้า-ออก'!$B:$B,สรุป!$C19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" s="9">
        <f>Z19+SUMIFS('บันทึกของเข้า-ออก'!$J:$J,'บันทึกของเข้า-ออก'!$B:$B,สรุป!$C19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" s="9">
        <f>AA19+SUMIFS('บันทึกของเข้า-ออก'!$J:$J,'บันทึกของเข้า-ออก'!$B:$B,สรุป!$C19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" s="9">
        <f>AB19+SUMIFS('บันทึกของเข้า-ออก'!$J:$J,'บันทึกของเข้า-ออก'!$B:$B,สรุป!$C19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" s="9">
        <f>AC19+SUMIFS('บันทึกของเข้า-ออก'!$J:$J,'บันทึกของเข้า-ออก'!$B:$B,สรุป!$C19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" s="9">
        <f>AD19+SUMIFS('บันทึกของเข้า-ออก'!$J:$J,'บันทึกของเข้า-ออก'!$B:$B,สรุป!$C19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" s="9">
        <f>AE19+SUMIFS('บันทึกของเข้า-ออก'!$J:$J,'บันทึกของเข้า-ออก'!$B:$B,สรุป!$C19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" s="9">
        <f>AF19+SUMIFS('บันทึกของเข้า-ออก'!$J:$J,'บันทึกของเข้า-ออก'!$B:$B,สรุป!$C19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19" s="9">
        <f>AG19+SUMIFS('บันทึกของเข้า-ออก'!$J:$J,'บันทึกของเข้า-ออก'!$B:$B,สรุป!$C19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" s="9">
        <f>AH19+SUMIFS('บันทึกของเข้า-ออก'!$J:$J,'บันทึกของเข้า-ออก'!$B:$B,สรุป!$C19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" s="9">
        <f>AI19+SUMIFS('บันทึกของเข้า-ออก'!$J:$J,'บันทึกของเข้า-ออก'!$B:$B,สรุป!$C19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" s="9">
        <f>AJ19+SUMIFS('บันทึกของเข้า-ออก'!$J:$J,'บันทึกของเข้า-ออก'!$B:$B,สรุป!$C19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" s="9">
        <f>AK19+SUMIFS('บันทึกของเข้า-ออก'!$J:$J,'บันทึกของเข้า-ออก'!$B:$B,สรุป!$C19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" s="26"/>
      <c r="T19" s="33"/>
      <c r="U19" s="34"/>
      <c r="V19" s="25" t="str">
        <f t="shared" si="1"/>
        <v>ห้องน้ำสนาม 2 ห้อง</v>
      </c>
      <c r="W19" s="44">
        <v>1</v>
      </c>
      <c r="X19" s="35" t="s">
        <v>158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1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34"/>
    </row>
    <row r="20" spans="2:38" x14ac:dyDescent="0.3">
      <c r="B20" s="43" t="s">
        <v>130</v>
      </c>
      <c r="C20" s="6" t="s">
        <v>157</v>
      </c>
      <c r="D20" s="79">
        <f t="shared" si="2"/>
        <v>1</v>
      </c>
      <c r="E20" s="6" t="s">
        <v>158</v>
      </c>
      <c r="F20" s="9">
        <f>Y20+SUMIFS('บันทึกของเข้า-ออก'!$J:$J,'บันทึกของเข้า-ออก'!$B:$B,สรุป!$C20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" s="9">
        <f>Z20+SUMIFS('บันทึกของเข้า-ออก'!$J:$J,'บันทึกของเข้า-ออก'!$B:$B,สรุป!$C20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" s="9">
        <f>AA20+SUMIFS('บันทึกของเข้า-ออก'!$J:$J,'บันทึกของเข้า-ออก'!$B:$B,สรุป!$C20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" s="9">
        <f>AB20+SUMIFS('บันทึกของเข้า-ออก'!$J:$J,'บันทึกของเข้า-ออก'!$B:$B,สรุป!$C20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" s="9">
        <f>AC20+SUMIFS('บันทึกของเข้า-ออก'!$J:$J,'บันทึกของเข้า-ออก'!$B:$B,สรุป!$C20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20" s="9">
        <f>AD20+SUMIFS('บันทึกของเข้า-ออก'!$J:$J,'บันทึกของเข้า-ออก'!$B:$B,สรุป!$C20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" s="9">
        <f>AE20+SUMIFS('บันทึกของเข้า-ออก'!$J:$J,'บันทึกของเข้า-ออก'!$B:$B,สรุป!$C20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" s="9">
        <f>AF20+SUMIFS('บันทึกของเข้า-ออก'!$J:$J,'บันทึกของเข้า-ออก'!$B:$B,สรุป!$C20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" s="9">
        <f>AG20+SUMIFS('บันทึกของเข้า-ออก'!$J:$J,'บันทึกของเข้า-ออก'!$B:$B,สรุป!$C20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" s="9">
        <f>AH20+SUMIFS('บันทึกของเข้า-ออก'!$J:$J,'บันทึกของเข้า-ออก'!$B:$B,สรุป!$C20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" s="9">
        <f>AI20+SUMIFS('บันทึกของเข้า-ออก'!$J:$J,'บันทึกของเข้า-ออก'!$B:$B,สรุป!$C20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" s="9">
        <f>AJ20+SUMIFS('บันทึกของเข้า-ออก'!$J:$J,'บันทึกของเข้า-ออก'!$B:$B,สรุป!$C20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" s="9">
        <f>AK20+SUMIFS('บันทึกของเข้า-ออก'!$J:$J,'บันทึกของเข้า-ออก'!$B:$B,สรุป!$C20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" s="26"/>
      <c r="T20" s="33"/>
      <c r="U20" s="34"/>
      <c r="V20" s="25" t="str">
        <f t="shared" si="1"/>
        <v>ตู้สนาม(ตู้คอนเทนเนอร์)</v>
      </c>
      <c r="W20" s="44">
        <v>1</v>
      </c>
      <c r="X20" s="35" t="s">
        <v>158</v>
      </c>
      <c r="Y20" s="26">
        <v>0</v>
      </c>
      <c r="Z20" s="26">
        <v>0</v>
      </c>
      <c r="AA20" s="26">
        <v>0</v>
      </c>
      <c r="AB20" s="26">
        <v>0</v>
      </c>
      <c r="AC20" s="26">
        <v>1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34"/>
    </row>
    <row r="21" spans="2:38" x14ac:dyDescent="0.3">
      <c r="B21" s="43" t="s">
        <v>130</v>
      </c>
      <c r="C21" s="6" t="s">
        <v>213</v>
      </c>
      <c r="D21" s="79">
        <f t="shared" si="2"/>
        <v>1</v>
      </c>
      <c r="E21" s="6" t="s">
        <v>158</v>
      </c>
      <c r="F21" s="9">
        <f>Y21+SUMIFS('บันทึกของเข้า-ออก'!$J:$J,'บันทึกของเข้า-ออก'!$B:$B,สรุป!$C21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" s="9">
        <f>Z21+SUMIFS('บันทึกของเข้า-ออก'!$J:$J,'บันทึกของเข้า-ออก'!$B:$B,สรุป!$C21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" s="9">
        <f>AA21+SUMIFS('บันทึกของเข้า-ออก'!$J:$J,'บันทึกของเข้า-ออก'!$B:$B,สรุป!$C21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" s="9">
        <f>AB21+SUMIFS('บันทึกของเข้า-ออก'!$J:$J,'บันทึกของเข้า-ออก'!$B:$B,สรุป!$C21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" s="9">
        <f>AC21+SUMIFS('บันทึกของเข้า-ออก'!$J:$J,'บันทึกของเข้า-ออก'!$B:$B,สรุป!$C21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" s="9">
        <f>AD21+SUMIFS('บันทึกของเข้า-ออก'!$J:$J,'บันทึกของเข้า-ออก'!$B:$B,สรุป!$C21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" s="9">
        <f>AE21+SUMIFS('บันทึกของเข้า-ออก'!$J:$J,'บันทึกของเข้า-ออก'!$B:$B,สรุป!$C21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" s="9">
        <f>AF21+SUMIFS('บันทึกของเข้า-ออก'!$J:$J,'บันทึกของเข้า-ออก'!$B:$B,สรุป!$C21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1" s="9">
        <f>AG21+SUMIFS('บันทึกของเข้า-ออก'!$J:$J,'บันทึกของเข้า-ออก'!$B:$B,สรุป!$C21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" s="9">
        <f>AH21+SUMIFS('บันทึกของเข้า-ออก'!$J:$J,'บันทึกของเข้า-ออก'!$B:$B,สรุป!$C21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" s="9">
        <f>AI21+SUMIFS('บันทึกของเข้า-ออก'!$J:$J,'บันทึกของเข้า-ออก'!$B:$B,สรุป!$C21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" s="9">
        <f>AJ21+SUMIFS('บันทึกของเข้า-ออก'!$J:$J,'บันทึกของเข้า-ออก'!$B:$B,สรุป!$C21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" s="9">
        <f>AK21+SUMIFS('บันทึกของเข้า-ออก'!$J:$J,'บันทึกของเข้า-ออก'!$B:$B,สรุป!$C21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" s="26"/>
      <c r="T21" s="33"/>
      <c r="U21" s="34"/>
      <c r="V21" s="25" t="str">
        <f t="shared" si="1"/>
        <v>ตู้สโตร์</v>
      </c>
      <c r="W21" s="44">
        <v>1</v>
      </c>
      <c r="X21" s="35" t="s">
        <v>158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1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34"/>
    </row>
    <row r="22" spans="2:38" x14ac:dyDescent="0.3">
      <c r="B22" s="43" t="s">
        <v>130</v>
      </c>
      <c r="C22" s="6" t="s">
        <v>371</v>
      </c>
      <c r="D22" s="79">
        <f t="shared" si="2"/>
        <v>12</v>
      </c>
      <c r="E22" s="6" t="s">
        <v>85</v>
      </c>
      <c r="F22" s="9">
        <f>Y22+SUMIFS('บันทึกของเข้า-ออก'!$J:$J,'บันทึกของเข้า-ออก'!$B:$B,สรุป!$C22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F$5,'บันทึกของเข้า-ออก'!$D:$D,"&gt;="&amp;สรุป!$F$2,'บันทึกของเข้า-ออก'!$D:$D,"&lt;="&amp;สรุป!$G$2)</f>
        <v>3</v>
      </c>
      <c r="G22" s="9">
        <f>Z22+SUMIFS('บันทึกของเข้า-ออก'!$J:$J,'บันทึกของเข้า-ออก'!$B:$B,สรุป!$C22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" s="9">
        <f>AA22+SUMIFS('บันทึกของเข้า-ออก'!$J:$J,'บันทึกของเข้า-ออก'!$B:$B,สรุป!$C22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2" s="9">
        <f>AB22+SUMIFS('บันทึกของเข้า-ออก'!$J:$J,'บันทึกของเข้า-ออก'!$B:$B,สรุป!$C22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" s="9">
        <v>3</v>
      </c>
      <c r="K22" s="9">
        <f>AD22+SUMIFS('บันทึกของเข้า-ออก'!$J:$J,'บันทึกของเข้า-ออก'!$B:$B,สรุป!$C22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" s="9">
        <f>AE22+SUMIFS('บันทึกของเข้า-ออก'!$J:$J,'บันทึกของเข้า-ออก'!$B:$B,สรุป!$C22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" s="9">
        <v>3</v>
      </c>
      <c r="N22" s="9">
        <f>AG22+SUMIFS('บันทึกของเข้า-ออก'!$J:$J,'บันทึกของเข้า-ออก'!$B:$B,สรุป!$C22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" s="9">
        <v>3</v>
      </c>
      <c r="P22" s="9">
        <f>AI22+SUMIFS('บันทึกของเข้า-ออก'!$J:$J,'บันทึกของเข้า-ออก'!$B:$B,สรุป!$C22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" s="9">
        <f>AJ22+SUMIFS('บันทึกของเข้า-ออก'!$J:$J,'บันทึกของเข้า-ออก'!$B:$B,สรุป!$C22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" s="9">
        <f>AK22+SUMIFS('บันทึกของเข้า-ออก'!$J:$J,'บันทึกของเข้า-ออก'!$B:$B,สรุป!$C22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" s="26"/>
      <c r="T22" s="33"/>
      <c r="U22" s="34"/>
      <c r="V22" s="25" t="str">
        <f t="shared" si="1"/>
        <v>ผ้าใบเคลือบ คลุมวัสดุ 4x6  (สีฟ้า)</v>
      </c>
      <c r="W22" s="44">
        <v>3</v>
      </c>
      <c r="X22" s="35" t="s">
        <v>85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34"/>
    </row>
    <row r="23" spans="2:38" x14ac:dyDescent="0.3">
      <c r="B23" s="43" t="s">
        <v>130</v>
      </c>
      <c r="C23" s="6" t="s">
        <v>232</v>
      </c>
      <c r="D23" s="79">
        <v>4</v>
      </c>
      <c r="E23" s="6" t="s">
        <v>233</v>
      </c>
      <c r="F23" s="9">
        <f>Y23+SUMIFS('บันทึกของเข้า-ออก'!$J:$J,'บันทึกของเข้า-ออก'!$B:$B,สรุป!$C23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" s="9">
        <f>Z23+SUMIFS('บันทึกของเข้า-ออก'!$J:$J,'บันทึกของเข้า-ออก'!$B:$B,สรุป!$C23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3" s="9">
        <f>AA23+SUMIFS('บันทึกของเข้า-ออก'!$J:$J,'บันทึกของเข้า-ออก'!$B:$B,สรุป!$C23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" s="9">
        <f>AB23+SUMIFS('บันทึกของเข้า-ออก'!$J:$J,'บันทึกของเข้า-ออก'!$B:$B,สรุป!$C23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" s="9">
        <f>AC23+SUMIFS('บันทึกของเข้า-ออก'!$J:$J,'บันทึกของเข้า-ออก'!$B:$B,สรุป!$C23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" s="9">
        <f>AD23+SUMIFS('บันทึกของเข้า-ออก'!$J:$J,'บันทึกของเข้า-ออก'!$B:$B,สรุป!$C23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" s="9">
        <f>AE23+SUMIFS('บันทึกของเข้า-ออก'!$J:$J,'บันทึกของเข้า-ออก'!$B:$B,สรุป!$C23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" s="9">
        <f>AF23+SUMIFS('บันทึกของเข้า-ออก'!$J:$J,'บันทึกของเข้า-ออก'!$B:$B,สรุป!$C23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M$5,'บันทึกของเข้า-ออก'!$D:$D,"&gt;="&amp;สรุป!$F$2,'บันทึกของเข้า-ออก'!$D:$D,"&lt;="&amp;สรุป!$G$2)</f>
        <v>3</v>
      </c>
      <c r="N23" s="9">
        <f>AG23+SUMIFS('บันทึกของเข้า-ออก'!$J:$J,'บันทึกของเข้า-ออก'!$B:$B,สรุป!$C23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" s="9">
        <f>AH23+SUMIFS('บันทึกของเข้า-ออก'!$J:$J,'บันทึกของเข้า-ออก'!$B:$B,สรุป!$C23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3" s="9">
        <f>AI23+SUMIFS('บันทึกของเข้า-ออก'!$J:$J,'บันทึกของเข้า-ออก'!$B:$B,สรุป!$C23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" s="9">
        <f>AJ23+SUMIFS('บันทึกของเข้า-ออก'!$J:$J,'บันทึกของเข้า-ออก'!$B:$B,สรุป!$C23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" s="9">
        <f>AK23+SUMIFS('บันทึกของเข้า-ออก'!$J:$J,'บันทึกของเข้า-ออก'!$B:$B,สรุป!$C23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" s="70"/>
      <c r="T23" s="33"/>
      <c r="U23" s="34"/>
      <c r="V23" s="25" t="str">
        <f t="shared" si="1"/>
        <v>ชุดเต๊น ผ้าใบ + ขา</v>
      </c>
      <c r="W23" s="44">
        <v>5</v>
      </c>
      <c r="X23" s="35" t="s">
        <v>233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3</v>
      </c>
      <c r="AG23" s="26">
        <v>0</v>
      </c>
      <c r="AH23" s="26">
        <v>1</v>
      </c>
      <c r="AI23" s="26">
        <v>0</v>
      </c>
      <c r="AJ23" s="26">
        <v>0</v>
      </c>
      <c r="AK23" s="26">
        <v>0</v>
      </c>
      <c r="AL23" s="34"/>
    </row>
    <row r="24" spans="2:38" x14ac:dyDescent="0.3">
      <c r="B24" s="43" t="s">
        <v>179</v>
      </c>
      <c r="C24" s="6" t="s">
        <v>53</v>
      </c>
      <c r="D24" s="79">
        <f t="shared" ref="D24:D29" si="3">SUMIF(F24:T24,"&gt;0")</f>
        <v>2</v>
      </c>
      <c r="E24" s="6" t="s">
        <v>58</v>
      </c>
      <c r="F24" s="9">
        <f>Y24+SUMIFS('บันทึกของเข้า-ออก'!$J:$J,'บันทึกของเข้า-ออก'!$B:$B,สรุป!$C24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" s="9">
        <f>Z24+SUMIFS('บันทึกของเข้า-ออก'!$J:$J,'บันทึกของเข้า-ออก'!$B:$B,สรุป!$C24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" s="9">
        <f>AA24+SUMIFS('บันทึกของเข้า-ออก'!$J:$J,'บันทึกของเข้า-ออก'!$B:$B,สรุป!$C24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4" s="9">
        <f>AB24+SUMIFS('บันทึกของเข้า-ออก'!$J:$J,'บันทึกของเข้า-ออก'!$B:$B,สรุป!$C24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" s="9">
        <f>AC24+SUMIFS('บันทึกของเข้า-ออก'!$J:$J,'บันทึกของเข้า-ออก'!$B:$B,สรุป!$C24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" s="9">
        <f>AD24+SUMIFS('บันทึกของเข้า-ออก'!$J:$J,'บันทึกของเข้า-ออก'!$B:$B,สรุป!$C24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" s="9">
        <f>AE24+SUMIFS('บันทึกของเข้า-ออก'!$J:$J,'บันทึกของเข้า-ออก'!$B:$B,สรุป!$C24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" s="9">
        <f>AF24+SUMIFS('บันทึกของเข้า-ออก'!$J:$J,'บันทึกของเข้า-ออก'!$B:$B,สรุป!$C24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" s="9">
        <f>AG24+SUMIFS('บันทึกของเข้า-ออก'!$J:$J,'บันทึกของเข้า-ออก'!$B:$B,สรุป!$C24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" s="9">
        <f>AH24+SUMIFS('บันทึกของเข้า-ออก'!$J:$J,'บันทึกของเข้า-ออก'!$B:$B,สรุป!$C24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4" s="9">
        <f>AI24+SUMIFS('บันทึกของเข้า-ออก'!$J:$J,'บันทึกของเข้า-ออก'!$B:$B,สรุป!$C24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" s="9">
        <f>AJ24+SUMIFS('บันทึกของเข้า-ออก'!$J:$J,'บันทึกของเข้า-ออก'!$B:$B,สรุป!$C24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" s="9">
        <f>AK24+SUMIFS('บันทึกของเข้า-ออก'!$J:$J,'บันทึกของเข้า-ออก'!$B:$B,สรุป!$C24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" s="26"/>
      <c r="T24" s="33"/>
      <c r="U24" s="34"/>
      <c r="V24" s="25" t="str">
        <f t="shared" si="1"/>
        <v>ไม้สตาฟ</v>
      </c>
      <c r="W24" s="44">
        <v>3</v>
      </c>
      <c r="X24" s="35" t="s">
        <v>58</v>
      </c>
      <c r="Y24" s="26">
        <v>0</v>
      </c>
      <c r="Z24" s="26">
        <v>1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63">
        <v>0</v>
      </c>
      <c r="AG24" s="26">
        <v>0</v>
      </c>
      <c r="AH24" s="26">
        <v>1</v>
      </c>
      <c r="AI24" s="26">
        <v>0</v>
      </c>
      <c r="AJ24" s="26">
        <v>0</v>
      </c>
      <c r="AK24" s="26">
        <v>0</v>
      </c>
      <c r="AL24" s="34"/>
    </row>
    <row r="25" spans="2:38" x14ac:dyDescent="0.3">
      <c r="B25" s="43" t="s">
        <v>179</v>
      </c>
      <c r="C25" s="6" t="s">
        <v>51</v>
      </c>
      <c r="D25" s="79">
        <f t="shared" si="3"/>
        <v>3</v>
      </c>
      <c r="E25" s="6" t="s">
        <v>56</v>
      </c>
      <c r="F25" s="9">
        <f>Y25+SUMIFS('บันทึกของเข้า-ออก'!$J:$J,'บันทึกของเข้า-ออก'!$B:$B,สรุป!$C25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" s="9">
        <v>1</v>
      </c>
      <c r="H25" s="9">
        <f>AA25+SUMIFS('บันทึกของเข้า-ออก'!$J:$J,'บันทึกของเข้า-ออก'!$B:$B,สรุป!$C25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" s="9">
        <f>AB25+SUMIFS('บันทึกของเข้า-ออก'!$J:$J,'บันทึกของเข้า-ออก'!$B:$B,สรุป!$C25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" s="9">
        <f>AC25+SUMIFS('บันทึกของเข้า-ออก'!$J:$J,'บันทึกของเข้า-ออก'!$B:$B,สรุป!$C25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5" s="9">
        <f>AD25+SUMIFS('บันทึกของเข้า-ออก'!$J:$J,'บันทึกของเข้า-ออก'!$B:$B,สรุป!$C25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" s="9">
        <f>AE25+SUMIFS('บันทึกของเข้า-ออก'!$J:$J,'บันทึกของเข้า-ออก'!$B:$B,สรุป!$C25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" s="9">
        <v>1</v>
      </c>
      <c r="N25" s="9">
        <f>AG25+SUMIFS('บันทึกของเข้า-ออก'!$J:$J,'บันทึกของเข้า-ออก'!$B:$B,สรุป!$C25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" s="9">
        <v>1</v>
      </c>
      <c r="P25" s="9">
        <f>AI25+SUMIFS('บันทึกของเข้า-ออก'!$J:$J,'บันทึกของเข้า-ออก'!$B:$B,สรุป!$C25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" s="9">
        <f>AJ25+SUMIFS('บันทึกของเข้า-ออก'!$J:$J,'บันทึกของเข้า-ออก'!$B:$B,สรุป!$C25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" s="9">
        <f>AK25+SUMIFS('บันทึกของเข้า-ออก'!$J:$J,'บันทึกของเข้า-ออก'!$B:$B,สรุป!$C25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" s="26"/>
      <c r="T25" s="33"/>
      <c r="U25" s="34"/>
      <c r="V25" s="25" t="str">
        <f t="shared" si="1"/>
        <v>กล้อง total station</v>
      </c>
      <c r="W25" s="44">
        <v>3</v>
      </c>
      <c r="X25" s="35" t="s">
        <v>56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34"/>
    </row>
    <row r="26" spans="2:38" x14ac:dyDescent="0.3">
      <c r="B26" s="43" t="s">
        <v>179</v>
      </c>
      <c r="C26" s="6" t="s">
        <v>287</v>
      </c>
      <c r="D26" s="79">
        <f t="shared" si="3"/>
        <v>1</v>
      </c>
      <c r="E26" s="6" t="s">
        <v>56</v>
      </c>
      <c r="F26" s="9">
        <f>Y26+SUMIFS('บันทึกของเข้า-ออก'!$J:$J,'บันทึกของเข้า-ออก'!$B:$B,สรุป!$C26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" s="9">
        <f>Z26+SUMIFS('บันทึกของเข้า-ออก'!$J:$J,'บันทึกของเข้า-ออก'!$B:$B,สรุป!$C26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" s="9">
        <f>AA26+SUMIFS('บันทึกของเข้า-ออก'!$J:$J,'บันทึกของเข้า-ออก'!$B:$B,สรุป!$C26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" s="9">
        <f>AB26+SUMIFS('บันทึกของเข้า-ออก'!$J:$J,'บันทึกของเข้า-ออก'!$B:$B,สรุป!$C26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" s="9">
        <f>AC26+SUMIFS('บันทึกของเข้า-ออก'!$J:$J,'บันทึกของเข้า-ออก'!$B:$B,สรุป!$C26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26" s="9">
        <f>AD26+SUMIFS('บันทึกของเข้า-ออก'!$J:$J,'บันทึกของเข้า-ออก'!$B:$B,สรุป!$C26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" s="9">
        <f>AE26+SUMIFS('บันทึกของเข้า-ออก'!$J:$J,'บันทึกของเข้า-ออก'!$B:$B,สรุป!$C26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" s="9">
        <f>AF26+SUMIFS('บันทึกของเข้า-ออก'!$J:$J,'บันทึกของเข้า-ออก'!$B:$B,สรุป!$C26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" s="9">
        <f>AG26+SUMIFS('บันทึกของเข้า-ออก'!$J:$J,'บันทึกของเข้า-ออก'!$B:$B,สรุป!$C26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" s="9">
        <f>AH26+SUMIFS('บันทึกของเข้า-ออก'!$J:$J,'บันทึกของเข้า-ออก'!$B:$B,สรุป!$C26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" s="9">
        <f>AI26+SUMIFS('บันทึกของเข้า-ออก'!$J:$J,'บันทึกของเข้า-ออก'!$B:$B,สรุป!$C26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" s="9">
        <f>AJ26+SUMIFS('บันทึกของเข้า-ออก'!$J:$J,'บันทึกของเข้า-ออก'!$B:$B,สรุป!$C26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" s="9">
        <f>AK26+SUMIFS('บันทึกของเข้า-ออก'!$J:$J,'บันทึกของเข้า-ออก'!$B:$B,สรุป!$C26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" s="26"/>
      <c r="T26" s="33"/>
      <c r="U26" s="34"/>
      <c r="V26" s="25" t="str">
        <f t="shared" si="1"/>
        <v>เลเซอร์</v>
      </c>
      <c r="W26" s="44">
        <v>1</v>
      </c>
      <c r="X26" s="35" t="s">
        <v>56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34"/>
    </row>
    <row r="27" spans="2:38" x14ac:dyDescent="0.3">
      <c r="B27" s="43" t="s">
        <v>179</v>
      </c>
      <c r="C27" s="6" t="s">
        <v>52</v>
      </c>
      <c r="D27" s="79">
        <f t="shared" si="3"/>
        <v>3</v>
      </c>
      <c r="E27" s="6" t="s">
        <v>56</v>
      </c>
      <c r="F27" s="9">
        <f>Y27+SUMIFS('บันทึกของเข้า-ออก'!$J:$J,'บันทึกของเข้า-ออก'!$B:$B,สรุป!$C27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" s="9">
        <f>Z27+SUMIFS('บันทึกของเข้า-ออก'!$J:$J,'บันทึกของเข้า-ออก'!$B:$B,สรุป!$C27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G$5,'บันทึกของเข้า-ออก'!$D:$D,"&gt;="&amp;สรุป!$F$2,'บันทึกของเข้า-ออก'!$D:$D,"&lt;="&amp;สรุป!$G$2)</f>
        <v>-1</v>
      </c>
      <c r="H27" s="9">
        <f>AA27+SUMIFS('บันทึกของเข้า-ออก'!$J:$J,'บันทึกของเข้า-ออก'!$B:$B,สรุป!$C27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" s="9">
        <f>AB27+SUMIFS('บันทึกของเข้า-ออก'!$J:$J,'บันทึกของเข้า-ออก'!$B:$B,สรุป!$C27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" s="9">
        <v>1</v>
      </c>
      <c r="K27" s="9">
        <f>AD27+SUMIFS('บันทึกของเข้า-ออก'!$J:$J,'บันทึกของเข้า-ออก'!$B:$B,สรุป!$C27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" s="9">
        <f>AE27+SUMIFS('บันทึกของเข้า-ออก'!$J:$J,'บันทึกของเข้า-ออก'!$B:$B,สรุป!$C27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" s="9">
        <v>1</v>
      </c>
      <c r="N27" s="9">
        <f>AG27+SUMIFS('บันทึกของเข้า-ออก'!$J:$J,'บันทึกของเข้า-ออก'!$B:$B,สรุป!$C27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" s="9">
        <v>1</v>
      </c>
      <c r="P27" s="9">
        <f>AI27+SUMIFS('บันทึกของเข้า-ออก'!$J:$J,'บันทึกของเข้า-ออก'!$B:$B,สรุป!$C27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" s="9">
        <f>AJ27+SUMIFS('บันทึกของเข้า-ออก'!$J:$J,'บันทึกของเข้า-ออก'!$B:$B,สรุป!$C27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" s="9">
        <f>AK27+SUMIFS('บันทึกของเข้า-ออก'!$J:$J,'บันทึกของเข้า-ออก'!$B:$B,สรุป!$C27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" s="26"/>
      <c r="T27" s="33"/>
      <c r="U27" s="34"/>
      <c r="V27" s="25" t="str">
        <f t="shared" si="1"/>
        <v>กล้องระดับ</v>
      </c>
      <c r="W27" s="44">
        <v>3</v>
      </c>
      <c r="X27" s="35" t="s">
        <v>56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34"/>
    </row>
    <row r="28" spans="2:38" x14ac:dyDescent="0.3">
      <c r="B28" s="43" t="s">
        <v>179</v>
      </c>
      <c r="C28" s="6" t="s">
        <v>277</v>
      </c>
      <c r="D28" s="79">
        <f t="shared" si="3"/>
        <v>2</v>
      </c>
      <c r="E28" s="6" t="s">
        <v>80</v>
      </c>
      <c r="F28" s="9">
        <f>Y28+SUMIFS('บันทึกของเข้า-ออก'!$J:$J,'บันทึกของเข้า-ออก'!$B:$B,สรุป!$C28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" s="9">
        <v>1</v>
      </c>
      <c r="H28" s="9">
        <f>AA28+SUMIFS('บันทึกของเข้า-ออก'!$J:$J,'บันทึกของเข้า-ออก'!$B:$B,สรุป!$C28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" s="9">
        <f>AB28+SUMIFS('บันทึกของเข้า-ออก'!$J:$J,'บันทึกของเข้า-ออก'!$B:$B,สรุป!$C28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" s="9">
        <f>AC28+SUMIFS('บันทึกของเข้า-ออก'!$J:$J,'บันทึกของเข้า-ออก'!$B:$B,สรุป!$C28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" s="9">
        <f>AD28+SUMIFS('บันทึกของเข้า-ออก'!$J:$J,'บันทึกของเข้า-ออก'!$B:$B,สรุป!$C28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" s="9">
        <f>AE28+SUMIFS('บันทึกของเข้า-ออก'!$J:$J,'บันทึกของเข้า-ออก'!$B:$B,สรุป!$C28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" s="9">
        <f>AF28+SUMIFS('บันทึกของเข้า-ออก'!$J:$J,'บันทึกของเข้า-ออก'!$B:$B,สรุป!$C28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" s="9">
        <v>1</v>
      </c>
      <c r="O28" s="9">
        <f>AH28+SUMIFS('บันทึกของเข้า-ออก'!$J:$J,'บันทึกของเข้า-ออก'!$B:$B,สรุป!$C28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" s="9">
        <f>AI28+SUMIFS('บันทึกของเข้า-ออก'!$J:$J,'บันทึกของเข้า-ออก'!$B:$B,สรุป!$C28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" s="9">
        <f>AJ28+SUMIFS('บันทึกของเข้า-ออก'!$J:$J,'บันทึกของเข้า-ออก'!$B:$B,สรุป!$C28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" s="9">
        <f>AK28+SUMIFS('บันทึกของเข้า-ออก'!$J:$J,'บันทึกของเข้า-ออก'!$B:$B,สรุป!$C28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" s="26"/>
      <c r="T28" s="33"/>
      <c r="U28" s="34"/>
      <c r="V28" s="25" t="str">
        <f t="shared" si="1"/>
        <v>เทปวัดระยะ 50 ม.</v>
      </c>
      <c r="W28" s="44">
        <v>2</v>
      </c>
      <c r="X28" s="35" t="s">
        <v>80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6">
        <v>0</v>
      </c>
      <c r="AK28" s="26">
        <v>0</v>
      </c>
      <c r="AL28" s="34"/>
    </row>
    <row r="29" spans="2:38" x14ac:dyDescent="0.3">
      <c r="B29" s="43" t="s">
        <v>179</v>
      </c>
      <c r="C29" s="6" t="s">
        <v>156</v>
      </c>
      <c r="D29" s="79">
        <f t="shared" si="3"/>
        <v>7</v>
      </c>
      <c r="E29" s="6" t="s">
        <v>58</v>
      </c>
      <c r="F29" s="9">
        <f>Y29+SUMIFS('บันทึกของเข้า-ออก'!$J:$J,'บันทึกของเข้า-ออก'!$B:$B,สรุป!$C29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9" s="9">
        <v>3</v>
      </c>
      <c r="H29" s="9">
        <f>AA29+SUMIFS('บันทึกของเข้า-ออก'!$J:$J,'บันทึกของเข้า-ออก'!$B:$B,สรุป!$C29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9" s="9">
        <f>AB29+SUMIFS('บันทึกของเข้า-ออก'!$J:$J,'บันทึกของเข้า-ออก'!$B:$B,สรุป!$C29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9" s="9">
        <v>1</v>
      </c>
      <c r="K29" s="9">
        <f>AD29+SUMIFS('บันทึกของเข้า-ออก'!$J:$J,'บันทึกของเข้า-ออก'!$B:$B,สรุป!$C29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9" s="9">
        <f>AE29+SUMIFS('บันทึกของเข้า-ออก'!$J:$J,'บันทึกของเข้า-ออก'!$B:$B,สรุป!$C29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9" s="9">
        <v>1</v>
      </c>
      <c r="N29" s="9">
        <f>AG29+SUMIFS('บันทึกของเข้า-ออก'!$J:$J,'บันทึกของเข้า-ออก'!$B:$B,สรุป!$C29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9" s="9">
        <v>2</v>
      </c>
      <c r="P29" s="9">
        <f>AI29+SUMIFS('บันทึกของเข้า-ออก'!$J:$J,'บันทึกของเข้า-ออก'!$B:$B,สรุป!$C29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9" s="9">
        <f>AJ29+SUMIFS('บันทึกของเข้า-ออก'!$J:$J,'บันทึกของเข้า-ออก'!$B:$B,สรุป!$C29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9" s="9">
        <f>AK29+SUMIFS('บันทึกของเข้า-ออก'!$J:$J,'บันทึกของเข้า-ออก'!$B:$B,สรุป!$C29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9" s="26"/>
      <c r="T29" s="33"/>
      <c r="U29" s="34"/>
      <c r="V29" s="25" t="str">
        <f t="shared" si="1"/>
        <v>ขาตั้งกล้อง</v>
      </c>
      <c r="W29" s="44">
        <v>5</v>
      </c>
      <c r="X29" s="35" t="s">
        <v>58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34"/>
    </row>
    <row r="30" spans="2:38" x14ac:dyDescent="0.3">
      <c r="B30" s="43" t="s">
        <v>179</v>
      </c>
      <c r="C30" s="6" t="s">
        <v>291</v>
      </c>
      <c r="D30" s="79">
        <v>2</v>
      </c>
      <c r="E30" s="6" t="s">
        <v>60</v>
      </c>
      <c r="F30" s="9">
        <f>Y30+SUMIFS('บันทึกของเข้า-ออก'!$J:$J,'บันทึกของเข้า-ออก'!$B:$B,สรุป!$C30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0" s="9">
        <v>1</v>
      </c>
      <c r="H30" s="9">
        <f>AA30+SUMIFS('บันทึกของเข้า-ออก'!$J:$J,'บันทึกของเข้า-ออก'!$B:$B,สรุป!$C30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0" s="9">
        <f>AB30+SUMIFS('บันทึกของเข้า-ออก'!$J:$J,'บันทึกของเข้า-ออก'!$B:$B,สรุป!$C30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30" s="9">
        <f>AC30+SUMIFS('บันทึกของเข้า-ออก'!$J:$J,'บันทึกของเข้า-ออก'!$B:$B,สรุป!$C30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0" s="9">
        <f>AD30+SUMIFS('บันทึกของเข้า-ออก'!$J:$J,'บันทึกของเข้า-ออก'!$B:$B,สรุป!$C30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0" s="9">
        <f>AE30+SUMIFS('บันทึกของเข้า-ออก'!$J:$J,'บันทึกของเข้า-ออก'!$B:$B,สรุป!$C30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0" s="9">
        <f>AF30+SUMIFS('บันทึกของเข้า-ออก'!$J:$J,'บันทึกของเข้า-ออก'!$B:$B,สรุป!$C30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0" s="9">
        <f>AG30+SUMIFS('บันทึกของเข้า-ออก'!$J:$J,'บันทึกของเข้า-ออก'!$B:$B,สรุป!$C30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0" s="9">
        <v>1</v>
      </c>
      <c r="P30" s="9">
        <f>AI30+SUMIFS('บันทึกของเข้า-ออก'!$J:$J,'บันทึกของเข้า-ออก'!$B:$B,สรุป!$C30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0" s="9">
        <f>AJ30+SUMIFS('บันทึกของเข้า-ออก'!$J:$J,'บันทึกของเข้า-ออก'!$B:$B,สรุป!$C30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0" s="9">
        <f>AK30+SUMIFS('บันทึกของเข้า-ออก'!$J:$J,'บันทึกของเข้า-ออก'!$B:$B,สรุป!$C30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0" s="26"/>
      <c r="T30" s="33"/>
      <c r="U30" s="34"/>
      <c r="V30" s="25" t="str">
        <f t="shared" si="1"/>
        <v>ปริซึม เล็ก +ขาตั้ง</v>
      </c>
      <c r="W30" s="44">
        <v>1</v>
      </c>
      <c r="X30" s="35" t="s">
        <v>60</v>
      </c>
      <c r="Y30" s="26">
        <v>0</v>
      </c>
      <c r="Z30" s="26">
        <v>1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1</v>
      </c>
      <c r="AI30" s="26">
        <v>0</v>
      </c>
      <c r="AJ30" s="26">
        <v>0</v>
      </c>
      <c r="AK30" s="26">
        <v>0</v>
      </c>
      <c r="AL30" s="34"/>
    </row>
    <row r="31" spans="2:38" x14ac:dyDescent="0.3">
      <c r="B31" s="43" t="s">
        <v>179</v>
      </c>
      <c r="C31" s="6" t="s">
        <v>292</v>
      </c>
      <c r="D31" s="79">
        <f t="shared" ref="D31:D95" si="4">SUMIF(F31:T31,"&gt;0")</f>
        <v>1</v>
      </c>
      <c r="E31" s="6" t="s">
        <v>60</v>
      </c>
      <c r="F31" s="9">
        <f>Y31+SUMIFS('บันทึกของเข้า-ออก'!$J:$J,'บันทึกของเข้า-ออก'!$B:$B,สรุป!$C31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1" s="9">
        <v>1</v>
      </c>
      <c r="H31" s="9">
        <f>AA31+SUMIFS('บันทึกของเข้า-ออก'!$J:$J,'บันทึกของเข้า-ออก'!$B:$B,สรุป!$C31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1" s="9">
        <f>AB31+SUMIFS('บันทึกของเข้า-ออก'!$J:$J,'บันทึกของเข้า-ออก'!$B:$B,สรุป!$C31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31" s="9">
        <f>AC31+SUMIFS('บันทึกของเข้า-ออก'!$J:$J,'บันทึกของเข้า-ออก'!$B:$B,สรุป!$C31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1" s="9">
        <f>AD31+SUMIFS('บันทึกของเข้า-ออก'!$J:$J,'บันทึกของเข้า-ออก'!$B:$B,สรุป!$C31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1" s="9">
        <f>AE31+SUMIFS('บันทึกของเข้า-ออก'!$J:$J,'บันทึกของเข้า-ออก'!$B:$B,สรุป!$C31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1" s="9">
        <f>AF31+SUMIFS('บันทึกของเข้า-ออก'!$J:$J,'บันทึกของเข้า-ออก'!$B:$B,สรุป!$C31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1" s="9">
        <f>AG31+SUMIFS('บันทึกของเข้า-ออก'!$J:$J,'บันทึกของเข้า-ออก'!$B:$B,สรุป!$C31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1" s="9">
        <f>AH31+SUMIFS('บันทึกของเข้า-ออก'!$J:$J,'บันทึกของเข้า-ออก'!$B:$B,สรุป!$C31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1" s="9">
        <f>AI31+SUMIFS('บันทึกของเข้า-ออก'!$J:$J,'บันทึกของเข้า-ออก'!$B:$B,สรุป!$C31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1" s="9">
        <f>AJ31+SUMIFS('บันทึกของเข้า-ออก'!$J:$J,'บันทึกของเข้า-ออก'!$B:$B,สรุป!$C31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1" s="9">
        <f>AK31+SUMIFS('บันทึกของเข้า-ออก'!$J:$J,'บันทึกของเข้า-ออก'!$B:$B,สรุป!$C31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1" s="26"/>
      <c r="T31" s="33"/>
      <c r="U31" s="34"/>
      <c r="V31" s="25" t="str">
        <f t="shared" si="1"/>
        <v>ปริซึม ใหญ่ + ขาตั้ง</v>
      </c>
      <c r="W31" s="44">
        <v>1</v>
      </c>
      <c r="X31" s="35" t="s">
        <v>60</v>
      </c>
      <c r="Y31" s="26">
        <v>0</v>
      </c>
      <c r="Z31" s="26">
        <v>1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34"/>
    </row>
    <row r="32" spans="2:38" ht="13.5" customHeight="1" x14ac:dyDescent="0.3">
      <c r="B32" s="43" t="s">
        <v>179</v>
      </c>
      <c r="C32" s="6" t="s">
        <v>171</v>
      </c>
      <c r="D32" s="79">
        <f t="shared" si="4"/>
        <v>13</v>
      </c>
      <c r="E32" s="6" t="s">
        <v>56</v>
      </c>
      <c r="F32" s="9">
        <f>Y32+SUMIFS('บันทึกของเข้า-ออก'!$J:$J,'บันทึกของเข้า-ออก'!$B:$B,สรุป!$C32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2" s="9">
        <v>6</v>
      </c>
      <c r="H32" s="9">
        <f>AA32+SUMIFS('บันทึกของเข้า-ออก'!$J:$J,'บันทึกของเข้า-ออก'!$B:$B,สรุป!$C32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2" s="9">
        <f>AB32+SUMIFS('บันทึกของเข้า-ออก'!$J:$J,'บันทึกของเข้า-ออก'!$B:$B,สรุป!$C32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32" s="9">
        <f>AC32+SUMIFS('บันทึกของเข้า-ออก'!$J:$J,'บันทึกของเข้า-ออก'!$B:$B,สรุป!$C32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2" s="9">
        <f>AD32+SUMIFS('บันทึกของเข้า-ออก'!$J:$J,'บันทึกของเข้า-ออก'!$B:$B,สรุป!$C32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2" s="9">
        <f>AE32+SUMIFS('บันทึกของเข้า-ออก'!$J:$J,'บันทึกของเข้า-ออก'!$B:$B,สรุป!$C32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2" s="9">
        <f>AF32+SUMIFS('บันทึกของเข้า-ออก'!$J:$J,'บันทึกของเข้า-ออก'!$B:$B,สรุป!$C32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2" s="9">
        <f>AG32+SUMIFS('บันทึกของเข้า-ออก'!$J:$J,'บันทึกของเข้า-ออก'!$B:$B,สรุป!$C32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2" s="9">
        <v>7</v>
      </c>
      <c r="P32" s="9">
        <f>AI32+SUMIFS('บันทึกของเข้า-ออก'!$J:$J,'บันทึกของเข้า-ออก'!$B:$B,สรุป!$C32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2" s="9">
        <f>AJ32+SUMIFS('บันทึกของเข้า-ออก'!$J:$J,'บันทึกของเข้า-ออก'!$B:$B,สรุป!$C32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2" s="9">
        <f>AK32+SUMIFS('บันทึกของเข้า-ออก'!$J:$J,'บันทึกของเข้า-ออก'!$B:$B,สรุป!$C32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2" s="70" t="s">
        <v>276</v>
      </c>
      <c r="T32" s="33"/>
      <c r="U32" s="34"/>
      <c r="V32" s="25" t="str">
        <f t="shared" si="1"/>
        <v>วิทยุสื่อสาร</v>
      </c>
      <c r="W32" s="44">
        <v>20</v>
      </c>
      <c r="X32" s="35" t="s">
        <v>56</v>
      </c>
      <c r="Y32" s="26">
        <v>0</v>
      </c>
      <c r="Z32" s="26">
        <v>6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7</v>
      </c>
      <c r="AI32" s="26">
        <v>0</v>
      </c>
      <c r="AJ32" s="26">
        <v>0</v>
      </c>
      <c r="AK32" s="26">
        <v>0</v>
      </c>
      <c r="AL32" s="34"/>
    </row>
    <row r="33" spans="1:38" x14ac:dyDescent="0.3">
      <c r="B33" s="43" t="s">
        <v>128</v>
      </c>
      <c r="C33" s="6" t="s">
        <v>311</v>
      </c>
      <c r="D33" s="79">
        <f t="shared" si="4"/>
        <v>0</v>
      </c>
      <c r="E33" s="6" t="s">
        <v>57</v>
      </c>
      <c r="F33" s="9">
        <f>Y33+SUMIFS('บันทึกของเข้า-ออก'!$J:$J,'บันทึกของเข้า-ออก'!$B:$B,สรุป!$C33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3" s="9">
        <f>Z33+SUMIFS('บันทึกของเข้า-ออก'!$J:$J,'บันทึกของเข้า-ออก'!$B:$B,สรุป!$C33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3" s="9">
        <f>AA33+SUMIFS('บันทึกของเข้า-ออก'!$J:$J,'บันทึกของเข้า-ออก'!$B:$B,สรุป!$C33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3" s="9">
        <f>AB33+SUMIFS('บันทึกของเข้า-ออก'!$J:$J,'บันทึกของเข้า-ออก'!$B:$B,สรุป!$C33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33" s="9">
        <f>AC33+SUMIFS('บันทึกของเข้า-ออก'!$J:$J,'บันทึกของเข้า-ออก'!$B:$B,สรุป!$C33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3" s="9">
        <f>AD33+SUMIFS('บันทึกของเข้า-ออก'!$J:$J,'บันทึกของเข้า-ออก'!$B:$B,สรุป!$C33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3" s="9">
        <f>AE33+SUMIFS('บันทึกของเข้า-ออก'!$J:$J,'บันทึกของเข้า-ออก'!$B:$B,สรุป!$C33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3" s="9">
        <f>AF33+SUMIFS('บันทึกของเข้า-ออก'!$J:$J,'บันทึกของเข้า-ออก'!$B:$B,สรุป!$C33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3" s="9">
        <f>AG33+SUMIFS('บันทึกของเข้า-ออก'!$J:$J,'บันทึกของเข้า-ออก'!$B:$B,สรุป!$C33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3" s="9">
        <f>AH33+SUMIFS('บันทึกของเข้า-ออก'!$J:$J,'บันทึกของเข้า-ออก'!$B:$B,สรุป!$C33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3" s="9">
        <f>AI33+SUMIFS('บันทึกของเข้า-ออก'!$J:$J,'บันทึกของเข้า-ออก'!$B:$B,สรุป!$C33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3" s="9">
        <f>AJ33+SUMIFS('บันทึกของเข้า-ออก'!$J:$J,'บันทึกของเข้า-ออก'!$B:$B,สรุป!$C33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3" s="9">
        <f>AK33+SUMIFS('บันทึกของเข้า-ออก'!$J:$J,'บันทึกของเข้า-ออก'!$B:$B,สรุป!$C33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3" s="26"/>
      <c r="T33" s="33"/>
      <c r="U33" s="34"/>
      <c r="V33" s="6" t="s">
        <v>311</v>
      </c>
      <c r="W33" s="44">
        <v>18</v>
      </c>
      <c r="X33" s="35" t="s">
        <v>57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34"/>
    </row>
    <row r="34" spans="1:38" x14ac:dyDescent="0.3">
      <c r="B34" s="43" t="s">
        <v>128</v>
      </c>
      <c r="C34" s="6" t="s">
        <v>266</v>
      </c>
      <c r="D34" s="79">
        <f t="shared" si="4"/>
        <v>0</v>
      </c>
      <c r="E34" s="6" t="s">
        <v>57</v>
      </c>
      <c r="F34" s="9">
        <f>Y34+SUMIFS('บันทึกของเข้า-ออก'!$J:$J,'บันทึกของเข้า-ออก'!$B:$B,สรุป!$C34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4" s="9">
        <f>Z34+SUMIFS('บันทึกของเข้า-ออก'!$J:$J,'บันทึกของเข้า-ออก'!$B:$B,สรุป!$C34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4" s="9">
        <f>AA34+SUMIFS('บันทึกของเข้า-ออก'!$J:$J,'บันทึกของเข้า-ออก'!$B:$B,สรุป!$C34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4" s="9">
        <f>AB34+SUMIFS('บันทึกของเข้า-ออก'!$J:$J,'บันทึกของเข้า-ออก'!$B:$B,สรุป!$C34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34" s="9">
        <f>AC34+SUMIFS('บันทึกของเข้า-ออก'!$J:$J,'บันทึกของเข้า-ออก'!$B:$B,สรุป!$C34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4" s="9">
        <f>AD34+SUMIFS('บันทึกของเข้า-ออก'!$J:$J,'บันทึกของเข้า-ออก'!$B:$B,สรุป!$C34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4" s="9">
        <f>AE34+SUMIFS('บันทึกของเข้า-ออก'!$J:$J,'บันทึกของเข้า-ออก'!$B:$B,สรุป!$C34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4" s="9">
        <f>AF34+SUMIFS('บันทึกของเข้า-ออก'!$J:$J,'บันทึกของเข้า-ออก'!$B:$B,สรุป!$C34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4" s="9">
        <f>AG34+SUMIFS('บันทึกของเข้า-ออก'!$J:$J,'บันทึกของเข้า-ออก'!$B:$B,สรุป!$C34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4" s="9">
        <f>AH34+SUMIFS('บันทึกของเข้า-ออก'!$J:$J,'บันทึกของเข้า-ออก'!$B:$B,สรุป!$C34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4" s="9">
        <f>AI34+SUMIFS('บันทึกของเข้า-ออก'!$J:$J,'บันทึกของเข้า-ออก'!$B:$B,สรุป!$C34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4" s="9">
        <f>AJ34+SUMIFS('บันทึกของเข้า-ออก'!$J:$J,'บันทึกของเข้า-ออก'!$B:$B,สรุป!$C34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4" s="9">
        <f>AK34+SUMIFS('บันทึกของเข้า-ออก'!$J:$J,'บันทึกของเข้า-ออก'!$B:$B,สรุป!$C34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4" s="26"/>
      <c r="T34" s="33"/>
      <c r="U34" s="34"/>
      <c r="V34" s="25" t="str">
        <f t="shared" ref="V34:V39" si="5">C34</f>
        <v>เหล็กเส้นข้ออ้อย*12 มม ยาว 10 ม</v>
      </c>
      <c r="W34" s="44">
        <v>6</v>
      </c>
      <c r="X34" s="35" t="s">
        <v>57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34"/>
    </row>
    <row r="35" spans="1:38" x14ac:dyDescent="0.3">
      <c r="B35" s="43" t="s">
        <v>128</v>
      </c>
      <c r="C35" s="6" t="s">
        <v>115</v>
      </c>
      <c r="D35" s="79">
        <f t="shared" si="4"/>
        <v>20</v>
      </c>
      <c r="E35" s="6" t="s">
        <v>57</v>
      </c>
      <c r="F35" s="9">
        <f>Y35+SUMIFS('บันทึกของเข้า-ออก'!$J:$J,'บันทึกของเข้า-ออก'!$B:$B,สรุป!$C35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5" s="9">
        <f>Z35+SUMIFS('บันทึกของเข้า-ออก'!$J:$J,'บันทึกของเข้า-ออก'!$B:$B,สรุป!$C35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5" s="9">
        <f>AA35+SUMIFS('บันทึกของเข้า-ออก'!$J:$J,'บันทึกของเข้า-ออก'!$B:$B,สรุป!$C35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5" s="9">
        <f>AB35+SUMIFS('บันทึกของเข้า-ออก'!$J:$J,'บันทึกของเข้า-ออก'!$B:$B,สรุป!$C35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I$5,'บันทึกของเข้า-ออก'!$D:$D,"&gt;="&amp;สรุป!$F$2,'บันทึกของเข้า-ออก'!$D:$D,"&lt;="&amp;สรุป!$G$2)</f>
        <v>20</v>
      </c>
      <c r="J35" s="9">
        <f>AC35+SUMIFS('บันทึกของเข้า-ออก'!$J:$J,'บันทึกของเข้า-ออก'!$B:$B,สรุป!$C35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5" s="9">
        <f>AD35+SUMIFS('บันทึกของเข้า-ออก'!$J:$J,'บันทึกของเข้า-ออก'!$B:$B,สรุป!$C35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5" s="9">
        <f>AE35+SUMIFS('บันทึกของเข้า-ออก'!$J:$J,'บันทึกของเข้า-ออก'!$B:$B,สรุป!$C35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5" s="9">
        <f>AF35+SUMIFS('บันทึกของเข้า-ออก'!$J:$J,'บันทึกของเข้า-ออก'!$B:$B,สรุป!$C35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5" s="9">
        <f>AG35+SUMIFS('บันทึกของเข้า-ออก'!$J:$J,'บันทึกของเข้า-ออก'!$B:$B,สรุป!$C35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5" s="9">
        <f>AH35+SUMIFS('บันทึกของเข้า-ออก'!$J:$J,'บันทึกของเข้า-ออก'!$B:$B,สรุป!$C35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5" s="9">
        <f>AI35+SUMIFS('บันทึกของเข้า-ออก'!$J:$J,'บันทึกของเข้า-ออก'!$B:$B,สรุป!$C35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5" s="9">
        <f>AJ35+SUMIFS('บันทึกของเข้า-ออก'!$J:$J,'บันทึกของเข้า-ออก'!$B:$B,สรุป!$C35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5" s="9">
        <f>AK35+SUMIFS('บันทึกของเข้า-ออก'!$J:$J,'บันทึกของเข้า-ออก'!$B:$B,สรุป!$C35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5" s="26"/>
      <c r="T35" s="33"/>
      <c r="U35" s="34"/>
      <c r="V35" s="25" t="str">
        <f t="shared" si="5"/>
        <v>เหล็ก c 5*2 ยาว 6 ม.</v>
      </c>
      <c r="W35" s="79">
        <v>20</v>
      </c>
      <c r="X35" s="35" t="s">
        <v>57</v>
      </c>
      <c r="Y35" s="26">
        <v>0</v>
      </c>
      <c r="Z35" s="26">
        <v>0</v>
      </c>
      <c r="AA35" s="26">
        <v>0</v>
      </c>
      <c r="AB35" s="26">
        <v>20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34"/>
    </row>
    <row r="36" spans="1:38" x14ac:dyDescent="0.3">
      <c r="B36" s="43" t="s">
        <v>128</v>
      </c>
      <c r="C36" s="6" t="s">
        <v>118</v>
      </c>
      <c r="D36" s="79">
        <f t="shared" si="4"/>
        <v>2</v>
      </c>
      <c r="E36" s="6" t="s">
        <v>57</v>
      </c>
      <c r="F36" s="9">
        <f>Y36+SUMIFS('บันทึกของเข้า-ออก'!$J:$J,'บันทึกของเข้า-ออก'!$B:$B,สรุป!$C36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6" s="9">
        <f>Z36+SUMIFS('บันทึกของเข้า-ออก'!$J:$J,'บันทึกของเข้า-ออก'!$B:$B,สรุป!$C36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6" s="9">
        <f>AA36+SUMIFS('บันทึกของเข้า-ออก'!$J:$J,'บันทึกของเข้า-ออก'!$B:$B,สรุป!$C36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6" s="9">
        <f>AB36+SUMIFS('บันทึกของเข้า-ออก'!$J:$J,'บันทึกของเข้า-ออก'!$B:$B,สรุป!$C36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I$5,'บันทึกของเข้า-ออก'!$D:$D,"&gt;="&amp;สรุป!$F$2,'บันทึกของเข้า-ออก'!$D:$D,"&lt;="&amp;สรุป!$G$2)</f>
        <v>2</v>
      </c>
      <c r="J36" s="9">
        <f>AC36+SUMIFS('บันทึกของเข้า-ออก'!$J:$J,'บันทึกของเข้า-ออก'!$B:$B,สรุป!$C36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6" s="9">
        <f>AD36+SUMIFS('บันทึกของเข้า-ออก'!$J:$J,'บันทึกของเข้า-ออก'!$B:$B,สรุป!$C36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6" s="9">
        <f>AE36+SUMIFS('บันทึกของเข้า-ออก'!$J:$J,'บันทึกของเข้า-ออก'!$B:$B,สรุป!$C36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6" s="9">
        <f>AF36+SUMIFS('บันทึกของเข้า-ออก'!$J:$J,'บันทึกของเข้า-ออก'!$B:$B,สรุป!$C36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6" s="9">
        <f>AG36+SUMIFS('บันทึกของเข้า-ออก'!$J:$J,'บันทึกของเข้า-ออก'!$B:$B,สรุป!$C36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6" s="9">
        <f>AH36+SUMIFS('บันทึกของเข้า-ออก'!$J:$J,'บันทึกของเข้า-ออก'!$B:$B,สรุป!$C36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6" s="9">
        <f>AI36+SUMIFS('บันทึกของเข้า-ออก'!$J:$J,'บันทึกของเข้า-ออก'!$B:$B,สรุป!$C36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6" s="9">
        <f>AJ36+SUMIFS('บันทึกของเข้า-ออก'!$J:$J,'บันทึกของเข้า-ออก'!$B:$B,สรุป!$C36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6" s="9">
        <f>AK36+SUMIFS('บันทึกของเข้า-ออก'!$J:$J,'บันทึกของเข้า-ออก'!$B:$B,สรุป!$C36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6" s="26"/>
      <c r="T36" s="33"/>
      <c r="U36" s="34"/>
      <c r="V36" s="25" t="str">
        <f t="shared" si="5"/>
        <v>เหล็ก c 6*2 ยาว 6 ม.</v>
      </c>
      <c r="W36" s="79">
        <v>2</v>
      </c>
      <c r="X36" s="35" t="s">
        <v>57</v>
      </c>
      <c r="Y36" s="26">
        <v>0</v>
      </c>
      <c r="Z36" s="26">
        <v>0</v>
      </c>
      <c r="AA36" s="26">
        <v>0</v>
      </c>
      <c r="AB36" s="26">
        <v>2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34"/>
    </row>
    <row r="37" spans="1:38" x14ac:dyDescent="0.3">
      <c r="B37" s="43" t="s">
        <v>128</v>
      </c>
      <c r="C37" s="6" t="s">
        <v>119</v>
      </c>
      <c r="D37" s="79">
        <f t="shared" si="4"/>
        <v>1</v>
      </c>
      <c r="E37" s="6" t="s">
        <v>57</v>
      </c>
      <c r="F37" s="9">
        <f>Y37+SUMIFS('บันทึกของเข้า-ออก'!$J:$J,'บันทึกของเข้า-ออก'!$B:$B,สรุป!$C37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7" s="9">
        <f>Z37+SUMIFS('บันทึกของเข้า-ออก'!$J:$J,'บันทึกของเข้า-ออก'!$B:$B,สรุป!$C37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7" s="9">
        <f>AA37+SUMIFS('บันทึกของเข้า-ออก'!$J:$J,'บันทึกของเข้า-ออก'!$B:$B,สรุป!$C37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7" s="9">
        <f>AB37+SUMIFS('บันทึกของเข้า-ออก'!$J:$J,'บันทึกของเข้า-ออก'!$B:$B,สรุป!$C37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I$5,'บันทึกของเข้า-ออก'!$D:$D,"&gt;="&amp;สรุป!$F$2,'บันทึกของเข้า-ออก'!$D:$D,"&lt;="&amp;สรุป!$G$2)</f>
        <v>1</v>
      </c>
      <c r="J37" s="9">
        <f>AC37+SUMIFS('บันทึกของเข้า-ออก'!$J:$J,'บันทึกของเข้า-ออก'!$B:$B,สรุป!$C37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7" s="9">
        <f>AD37+SUMIFS('บันทึกของเข้า-ออก'!$J:$J,'บันทึกของเข้า-ออก'!$B:$B,สรุป!$C37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7" s="9">
        <f>AE37+SUMIFS('บันทึกของเข้า-ออก'!$J:$J,'บันทึกของเข้า-ออก'!$B:$B,สรุป!$C37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7" s="9">
        <f>AF37+SUMIFS('บันทึกของเข้า-ออก'!$J:$J,'บันทึกของเข้า-ออก'!$B:$B,สรุป!$C37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7" s="9">
        <f>AG37+SUMIFS('บันทึกของเข้า-ออก'!$J:$J,'บันทึกของเข้า-ออก'!$B:$B,สรุป!$C37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7" s="9">
        <f>AH37+SUMIFS('บันทึกของเข้า-ออก'!$J:$J,'บันทึกของเข้า-ออก'!$B:$B,สรุป!$C37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7" s="9">
        <f>AI37+SUMIFS('บันทึกของเข้า-ออก'!$J:$J,'บันทึกของเข้า-ออก'!$B:$B,สรุป!$C37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7" s="9">
        <f>AJ37+SUMIFS('บันทึกของเข้า-ออก'!$J:$J,'บันทึกของเข้า-ออก'!$B:$B,สรุป!$C37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7" s="9">
        <f>AK37+SUMIFS('บันทึกของเข้า-ออก'!$J:$J,'บันทึกของเข้า-ออก'!$B:$B,สรุป!$C37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7" s="26"/>
      <c r="T37" s="33"/>
      <c r="U37" s="34"/>
      <c r="V37" s="25" t="str">
        <f t="shared" si="5"/>
        <v>เหล็ก c 6*3 ยาว 6 ม.</v>
      </c>
      <c r="W37" s="79">
        <v>1</v>
      </c>
      <c r="X37" s="35" t="s">
        <v>57</v>
      </c>
      <c r="Y37" s="26">
        <v>0</v>
      </c>
      <c r="Z37" s="26">
        <v>0</v>
      </c>
      <c r="AA37" s="26">
        <v>0</v>
      </c>
      <c r="AB37" s="26">
        <v>1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34"/>
    </row>
    <row r="38" spans="1:38" x14ac:dyDescent="0.3">
      <c r="B38" s="43" t="s">
        <v>128</v>
      </c>
      <c r="C38" s="6" t="s">
        <v>120</v>
      </c>
      <c r="D38" s="79">
        <f t="shared" si="4"/>
        <v>2</v>
      </c>
      <c r="E38" s="6" t="s">
        <v>57</v>
      </c>
      <c r="F38" s="9">
        <f>Y38+SUMIFS('บันทึกของเข้า-ออก'!$J:$J,'บันทึกของเข้า-ออก'!$B:$B,สรุป!$C38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8" s="9">
        <f>Z38+SUMIFS('บันทึกของเข้า-ออก'!$J:$J,'บันทึกของเข้า-ออก'!$B:$B,สรุป!$C38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8" s="9">
        <f>AA38+SUMIFS('บันทึกของเข้า-ออก'!$J:$J,'บันทึกของเข้า-ออก'!$B:$B,สรุป!$C38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8" s="9">
        <f>AB38+SUMIFS('บันทึกของเข้า-ออก'!$J:$J,'บันทึกของเข้า-ออก'!$B:$B,สรุป!$C38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I$5,'บันทึกของเข้า-ออก'!$D:$D,"&gt;="&amp;สรุป!$F$2,'บันทึกของเข้า-ออก'!$D:$D,"&lt;="&amp;สรุป!$G$2)</f>
        <v>2</v>
      </c>
      <c r="J38" s="9">
        <f>AC38+SUMIFS('บันทึกของเข้า-ออก'!$J:$J,'บันทึกของเข้า-ออก'!$B:$B,สรุป!$C38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38" s="9">
        <f>AD38+SUMIFS('บันทึกของเข้า-ออก'!$J:$J,'บันทึกของเข้า-ออก'!$B:$B,สรุป!$C38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8" s="9">
        <f>AE38+SUMIFS('บันทึกของเข้า-ออก'!$J:$J,'บันทึกของเข้า-ออก'!$B:$B,สรุป!$C38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8" s="9">
        <f>AF38+SUMIFS('บันทึกของเข้า-ออก'!$J:$J,'บันทึกของเข้า-ออก'!$B:$B,สรุป!$C38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8" s="9">
        <f>AG38+SUMIFS('บันทึกของเข้า-ออก'!$J:$J,'บันทึกของเข้า-ออก'!$B:$B,สรุป!$C38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8" s="9">
        <f>AH38+SUMIFS('บันทึกของเข้า-ออก'!$J:$J,'บันทึกของเข้า-ออก'!$B:$B,สรุป!$C38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38" s="9">
        <f>AI38+SUMIFS('บันทึกของเข้า-ออก'!$J:$J,'บันทึกของเข้า-ออก'!$B:$B,สรุป!$C38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8" s="9">
        <f>AJ38+SUMIFS('บันทึกของเข้า-ออก'!$J:$J,'บันทึกของเข้า-ออก'!$B:$B,สรุป!$C38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8" s="9">
        <f>AK38+SUMIFS('บันทึกของเข้า-ออก'!$J:$J,'บันทึกของเข้า-ออก'!$B:$B,สรุป!$C38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8" s="26"/>
      <c r="T38" s="33"/>
      <c r="U38" s="34"/>
      <c r="V38" s="25" t="str">
        <f t="shared" si="5"/>
        <v>เหล็ก c4*2 ยาว 6 ม.</v>
      </c>
      <c r="W38" s="79">
        <v>2</v>
      </c>
      <c r="X38" s="35" t="s">
        <v>57</v>
      </c>
      <c r="Y38" s="26">
        <v>0</v>
      </c>
      <c r="Z38" s="26">
        <v>0</v>
      </c>
      <c r="AA38" s="26">
        <v>0</v>
      </c>
      <c r="AB38" s="26">
        <v>2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34"/>
    </row>
    <row r="39" spans="1:38" x14ac:dyDescent="0.3">
      <c r="B39" s="43" t="s">
        <v>128</v>
      </c>
      <c r="C39" s="6" t="s">
        <v>350</v>
      </c>
      <c r="D39" s="79">
        <f t="shared" si="4"/>
        <v>11</v>
      </c>
      <c r="E39" s="6" t="s">
        <v>57</v>
      </c>
      <c r="F39" s="9">
        <f>Y39+SUMIFS('บันทึกของเข้า-ออก'!$J:$J,'บันทึกของเข้า-ออก'!$B:$B,สรุป!$C39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39" s="9">
        <f>Z39+SUMIFS('บันทึกของเข้า-ออก'!$J:$J,'บันทึกของเข้า-ออก'!$B:$B,สรุป!$C39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39" s="9">
        <f>AA39+SUMIFS('บันทึกของเข้า-ออก'!$J:$J,'บันทึกของเข้า-ออก'!$B:$B,สรุป!$C39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39" s="9">
        <f>AB39+SUMIFS('บันทึกของเข้า-ออก'!$J:$J,'บันทึกของเข้า-ออก'!$B:$B,สรุป!$C39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39" s="9">
        <f>AC39+SUMIFS('บันทึกของเข้า-ออก'!$J:$J,'บันทึกของเข้า-ออก'!$B:$B,สรุป!$C39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J$5,'บันทึกของเข้า-ออก'!$D:$D,"&gt;="&amp;สรุป!$F$2,'บันทึกของเข้า-ออก'!$D:$D,"&lt;="&amp;สรุป!$G$2)</f>
        <v>-11</v>
      </c>
      <c r="K39" s="9">
        <f>AD39+SUMIFS('บันทึกของเข้า-ออก'!$J:$J,'บันทึกของเข้า-ออก'!$B:$B,สรุป!$C39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39" s="9">
        <f>AE39+SUMIFS('บันทึกของเข้า-ออก'!$J:$J,'บันทึกของเข้า-ออก'!$B:$B,สรุป!$C39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39" s="9">
        <f>AF39+SUMIFS('บันทึกของเข้า-ออก'!$J:$J,'บันทึกของเข้า-ออก'!$B:$B,สรุป!$C39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39" s="9">
        <f>AG39+SUMIFS('บันทึกของเข้า-ออก'!$J:$J,'บันทึกของเข้า-ออก'!$B:$B,สรุป!$C39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39" s="9">
        <f>AH39+SUMIFS('บันทึกของเข้า-ออก'!$J:$J,'บันทึกของเข้า-ออก'!$B:$B,สรุป!$C39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O$5,'บันทึกของเข้า-ออก'!$D:$D,"&gt;="&amp;สรุป!$F$2,'บันทึกของเข้า-ออก'!$D:$D,"&lt;="&amp;สรุป!$G$2)</f>
        <v>11</v>
      </c>
      <c r="P39" s="9">
        <f>AI39+SUMIFS('บันทึกของเข้า-ออก'!$J:$J,'บันทึกของเข้า-ออก'!$B:$B,สรุป!$C39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39" s="9">
        <f>AJ39+SUMIFS('บันทึกของเข้า-ออก'!$J:$J,'บันทึกของเข้า-ออก'!$B:$B,สรุป!$C39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39" s="9">
        <f>AK39+SUMIFS('บันทึกของเข้า-ออก'!$J:$J,'บันทึกของเข้า-ออก'!$B:$B,สรุป!$C39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39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39" s="26"/>
      <c r="T39" s="33"/>
      <c r="U39" s="34"/>
      <c r="V39" s="25" t="str">
        <f t="shared" si="5"/>
        <v>เหล็กแป๊บกลม 1.5 น.ยาว 2.50-3 ม.</v>
      </c>
      <c r="W39" s="44"/>
      <c r="X39" s="35"/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34"/>
    </row>
    <row r="40" spans="1:38" x14ac:dyDescent="0.3">
      <c r="B40" s="43" t="s">
        <v>128</v>
      </c>
      <c r="C40" s="6" t="s">
        <v>310</v>
      </c>
      <c r="D40" s="79">
        <f t="shared" si="4"/>
        <v>0</v>
      </c>
      <c r="E40" s="6" t="s">
        <v>57</v>
      </c>
      <c r="F40" s="9">
        <f>Y40+SUMIFS('บันทึกของเข้า-ออก'!$J:$J,'บันทึกของเข้า-ออก'!$B:$B,สรุป!$C40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40" s="9">
        <f>Z40+SUMIFS('บันทึกของเข้า-ออก'!$J:$J,'บันทึกของเข้า-ออก'!$B:$B,สรุป!$C40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0" s="9">
        <f>AA40+SUMIFS('บันทึกของเข้า-ออก'!$J:$J,'บันทึกของเข้า-ออก'!$B:$B,สรุป!$C40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0" s="9">
        <f>AB40+SUMIFS('บันทึกของเข้า-ออก'!$J:$J,'บันทึกของเข้า-ออก'!$B:$B,สรุป!$C40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40" s="9">
        <f>AC40+SUMIFS('บันทึกของเข้า-ออก'!$J:$J,'บันทึกของเข้า-ออก'!$B:$B,สรุป!$C40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40" s="9">
        <f>AD40+SUMIFS('บันทึกของเข้า-ออก'!$J:$J,'บันทึกของเข้า-ออก'!$B:$B,สรุป!$C40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0" s="9">
        <f>AE40+SUMIFS('บันทึกของเข้า-ออก'!$J:$J,'บันทึกของเข้า-ออก'!$B:$B,สรุป!$C40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0" s="9">
        <f>AF40+SUMIFS('บันทึกของเข้า-ออก'!$J:$J,'บันทึกของเข้า-ออก'!$B:$B,สรุป!$C40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40" s="9">
        <f>AG40+SUMIFS('บันทึกของเข้า-ออก'!$J:$J,'บันทึกของเข้า-ออก'!$B:$B,สรุป!$C40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40" s="9">
        <f>AH40+SUMIFS('บันทึกของเข้า-ออก'!$J:$J,'บันทึกของเข้า-ออก'!$B:$B,สรุป!$C40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40" s="9">
        <f>AI40+SUMIFS('บันทึกของเข้า-ออก'!$J:$J,'บันทึกของเข้า-ออก'!$B:$B,สรุป!$C40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0" s="9">
        <f>AJ40+SUMIFS('บันทึกของเข้า-ออก'!$J:$J,'บันทึกของเข้า-ออก'!$B:$B,สรุป!$C40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0" s="9">
        <f>AK40+SUMIFS('บันทึกของเข้า-ออก'!$J:$J,'บันทึกของเข้า-ออก'!$B:$B,สรุป!$C40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0" s="26"/>
      <c r="T40" s="33"/>
      <c r="U40" s="34"/>
      <c r="V40" s="6" t="s">
        <v>310</v>
      </c>
      <c r="W40" s="44"/>
      <c r="X40" s="35" t="s">
        <v>57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34"/>
    </row>
    <row r="41" spans="1:38" x14ac:dyDescent="0.3">
      <c r="A41" s="66"/>
      <c r="B41" s="43" t="s">
        <v>128</v>
      </c>
      <c r="C41" s="6" t="s">
        <v>117</v>
      </c>
      <c r="D41" s="79">
        <f t="shared" si="4"/>
        <v>3</v>
      </c>
      <c r="E41" s="6" t="s">
        <v>57</v>
      </c>
      <c r="F41" s="9">
        <f>Y41+SUMIFS('บันทึกของเข้า-ออก'!$J:$J,'บันทึกของเข้า-ออก'!$B:$B,สรุป!$C41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41" s="9">
        <f>Z41+SUMIFS('บันทึกของเข้า-ออก'!$J:$J,'บันทึกของเข้า-ออก'!$B:$B,สรุป!$C41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1" s="9">
        <f>AA41+SUMIFS('บันทึกของเข้า-ออก'!$J:$J,'บันทึกของเข้า-ออก'!$B:$B,สรุป!$C41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1" s="9">
        <f>AB41+SUMIFS('บันทึกของเข้า-ออก'!$J:$J,'บันทึกของเข้า-ออก'!$B:$B,สรุป!$C41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I$5,'บันทึกของเข้า-ออก'!$D:$D,"&gt;="&amp;สรุป!$F$2,'บันทึกของเข้า-ออก'!$D:$D,"&lt;="&amp;สรุป!$G$2)</f>
        <v>3</v>
      </c>
      <c r="J41" s="9">
        <f>AC41+SUMIFS('บันทึกของเข้า-ออก'!$J:$J,'บันทึกของเข้า-ออก'!$B:$B,สรุป!$C41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41" s="9">
        <f>AD41+SUMIFS('บันทึกของเข้า-ออก'!$J:$J,'บันทึกของเข้า-ออก'!$B:$B,สรุป!$C41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1" s="9">
        <f>AE41+SUMIFS('บันทึกของเข้า-ออก'!$J:$J,'บันทึกของเข้า-ออก'!$B:$B,สรุป!$C41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1" s="9">
        <f>AF41+SUMIFS('บันทึกของเข้า-ออก'!$J:$J,'บันทึกของเข้า-ออก'!$B:$B,สรุป!$C41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41" s="9">
        <f>AG41+SUMIFS('บันทึกของเข้า-ออก'!$J:$J,'บันทึกของเข้า-ออก'!$B:$B,สรุป!$C41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41" s="9">
        <f>AH41+SUMIFS('บันทึกของเข้า-ออก'!$J:$J,'บันทึกของเข้า-ออก'!$B:$B,สรุป!$C41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41" s="9">
        <f>AI41+SUMIFS('บันทึกของเข้า-ออก'!$J:$J,'บันทึกของเข้า-ออก'!$B:$B,สรุป!$C41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1" s="9">
        <f>AJ41+SUMIFS('บันทึกของเข้า-ออก'!$J:$J,'บันทึกของเข้า-ออก'!$B:$B,สรุป!$C41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1" s="9">
        <f>AK41+SUMIFS('บันทึกของเข้า-ออก'!$J:$J,'บันทึกของเข้า-ออก'!$B:$B,สรุป!$C41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1" s="26"/>
      <c r="T41" s="33"/>
      <c r="U41" s="34"/>
      <c r="V41" s="25" t="str">
        <f t="shared" ref="V41:V64" si="6">C41</f>
        <v>เหล็กแป๊บกลม 2น.ยาว 6 ม.</v>
      </c>
      <c r="W41" s="79">
        <v>3</v>
      </c>
      <c r="X41" s="35" t="s">
        <v>57</v>
      </c>
      <c r="Y41" s="26">
        <v>0</v>
      </c>
      <c r="Z41" s="26">
        <v>0</v>
      </c>
      <c r="AA41" s="26">
        <v>0</v>
      </c>
      <c r="AB41" s="26">
        <v>3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34"/>
    </row>
    <row r="42" spans="1:38" x14ac:dyDescent="0.3">
      <c r="B42" s="43" t="s">
        <v>128</v>
      </c>
      <c r="C42" s="6" t="s">
        <v>127</v>
      </c>
      <c r="D42" s="79">
        <f t="shared" si="4"/>
        <v>12</v>
      </c>
      <c r="E42" s="6" t="s">
        <v>57</v>
      </c>
      <c r="F42" s="9">
        <f>Y42+SUMIFS('บันทึกของเข้า-ออก'!$J:$J,'บันทึกของเข้า-ออก'!$B:$B,สรุป!$C42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42" s="9">
        <f>Z42+SUMIFS('บันทึกของเข้า-ออก'!$J:$J,'บันทึกของเข้า-ออก'!$B:$B,สรุป!$C42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2" s="9">
        <f>AA42+SUMIFS('บันทึกของเข้า-ออก'!$J:$J,'บันทึกของเข้า-ออก'!$B:$B,สรุป!$C42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2" s="9">
        <f>AB42+SUMIFS('บันทึกของเข้า-ออก'!$J:$J,'บันทึกของเข้า-ออก'!$B:$B,สรุป!$C42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I$5,'บันทึกของเข้า-ออก'!$D:$D,"&gt;="&amp;สรุป!$F$2,'บันทึกของเข้า-ออก'!$D:$D,"&lt;="&amp;สรุป!$G$2)</f>
        <v>12</v>
      </c>
      <c r="J42" s="9">
        <f>AC42+SUMIFS('บันทึกของเข้า-ออก'!$J:$J,'บันทึกของเข้า-ออก'!$B:$B,สรุป!$C42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42" s="9">
        <f>AD42+SUMIFS('บันทึกของเข้า-ออก'!$J:$J,'บันทึกของเข้า-ออก'!$B:$B,สรุป!$C42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2" s="9">
        <f>AE42+SUMIFS('บันทึกของเข้า-ออก'!$J:$J,'บันทึกของเข้า-ออก'!$B:$B,สรุป!$C42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2" s="9">
        <f>AF42+SUMIFS('บันทึกของเข้า-ออก'!$J:$J,'บันทึกของเข้า-ออก'!$B:$B,สรุป!$C42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42" s="9">
        <f>AG42+SUMIFS('บันทึกของเข้า-ออก'!$J:$J,'บันทึกของเข้า-ออก'!$B:$B,สรุป!$C42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42" s="9">
        <f>AH42+SUMIFS('บันทึกของเข้า-ออก'!$J:$J,'บันทึกของเข้า-ออก'!$B:$B,สรุป!$C42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42" s="9">
        <f>AI42+SUMIFS('บันทึกของเข้า-ออก'!$J:$J,'บันทึกของเข้า-ออก'!$B:$B,สรุป!$C42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2" s="9">
        <f>AJ42+SUMIFS('บันทึกของเข้า-ออก'!$J:$J,'บันทึกของเข้า-ออก'!$B:$B,สรุป!$C42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2" s="9">
        <f>AK42+SUMIFS('บันทึกของเข้า-ออก'!$J:$J,'บันทึกของเข้า-ออก'!$B:$B,สรุป!$C42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2" s="26"/>
      <c r="T42" s="33"/>
      <c r="U42" s="34"/>
      <c r="V42" s="25" t="str">
        <f t="shared" si="6"/>
        <v>เหล็กแป๊บกลม 5" ยาว 6 ม.</v>
      </c>
      <c r="W42" s="79">
        <v>12</v>
      </c>
      <c r="X42" s="35" t="s">
        <v>57</v>
      </c>
      <c r="Y42" s="26">
        <v>0</v>
      </c>
      <c r="Z42" s="26">
        <v>0</v>
      </c>
      <c r="AA42" s="26">
        <v>0</v>
      </c>
      <c r="AB42" s="26">
        <v>12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34"/>
    </row>
    <row r="43" spans="1:38" x14ac:dyDescent="0.3">
      <c r="B43" s="43" t="s">
        <v>128</v>
      </c>
      <c r="C43" s="6" t="s">
        <v>87</v>
      </c>
      <c r="D43" s="79">
        <f t="shared" si="4"/>
        <v>0</v>
      </c>
      <c r="E43" s="6" t="s">
        <v>57</v>
      </c>
      <c r="F43" s="9">
        <f>Y43+SUMIFS('บันทึกของเข้า-ออก'!$J:$J,'บันทึกของเข้า-ออก'!$B:$B,สรุป!$C43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43" s="9">
        <f>Z43+SUMIFS('บันทึกของเข้า-ออก'!$J:$J,'บันทึกของเข้า-ออก'!$B:$B,สรุป!$C43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3" s="9">
        <f>AA43+SUMIFS('บันทึกของเข้า-ออก'!$J:$J,'บันทึกของเข้า-ออก'!$B:$B,สรุป!$C43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3" s="9">
        <f>AB43+SUMIFS('บันทึกของเข้า-ออก'!$J:$J,'บันทึกของเข้า-ออก'!$B:$B,สรุป!$C43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43" s="9">
        <f>AC43+SUMIFS('บันทึกของเข้า-ออก'!$J:$J,'บันทึกของเข้า-ออก'!$B:$B,สรุป!$C43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43" s="9">
        <f>AD43+SUMIFS('บันทึกของเข้า-ออก'!$J:$J,'บันทึกของเข้า-ออก'!$B:$B,สรุป!$C43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3" s="9">
        <f>AE43+SUMIFS('บันทึกของเข้า-ออก'!$J:$J,'บันทึกของเข้า-ออก'!$B:$B,สรุป!$C43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3" s="9">
        <f>AF43+SUMIFS('บันทึกของเข้า-ออก'!$J:$J,'บันทึกของเข้า-ออก'!$B:$B,สรุป!$C43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43" s="9">
        <f>AG43+SUMIFS('บันทึกของเข้า-ออก'!$J:$J,'บันทึกของเข้า-ออก'!$B:$B,สรุป!$C43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43" s="9">
        <f>AH43+SUMIFS('บันทึกของเข้า-ออก'!$J:$J,'บันทึกของเข้า-ออก'!$B:$B,สรุป!$C43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43" s="9">
        <f>AI43+SUMIFS('บันทึกของเข้า-ออก'!$J:$J,'บันทึกของเข้า-ออก'!$B:$B,สรุป!$C43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3" s="9">
        <f>AJ43+SUMIFS('บันทึกของเข้า-ออก'!$J:$J,'บันทึกของเข้า-ออก'!$B:$B,สรุป!$C43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3" s="9">
        <f>AK43+SUMIFS('บันทึกของเข้า-ออก'!$J:$J,'บันทึกของเข้า-ออก'!$B:$B,สรุป!$C43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3" s="26"/>
      <c r="T43" s="33"/>
      <c r="U43" s="34"/>
      <c r="V43" s="25" t="str">
        <f t="shared" si="6"/>
        <v>เหล็กกล่อง 2"x1" 6.00 เมตร</v>
      </c>
      <c r="W43" s="79"/>
      <c r="X43" s="35" t="s">
        <v>57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34"/>
    </row>
    <row r="44" spans="1:38" x14ac:dyDescent="0.3">
      <c r="A44" s="80"/>
      <c r="B44" s="43" t="s">
        <v>128</v>
      </c>
      <c r="C44" s="6" t="s">
        <v>35</v>
      </c>
      <c r="D44" s="79">
        <f t="shared" si="4"/>
        <v>554</v>
      </c>
      <c r="E44" s="6" t="s">
        <v>57</v>
      </c>
      <c r="F44" s="9">
        <f>Y44+SUMIFS('บันทึกของเข้า-ออก'!$J:$J,'บันทึกของเข้า-ออก'!$B:$B,สรุป!$C44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44" s="9">
        <f>Z44+SUMIFS('บันทึกของเข้า-ออก'!$J:$J,'บันทึกของเข้า-ออก'!$B:$B,สรุป!$C44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4" s="9">
        <f>AA44+SUMIFS('บันทึกของเข้า-ออก'!$J:$J,'บันทึกของเข้า-ออก'!$B:$B,สรุป!$C44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4" s="9">
        <f>AB44+SUMIFS('บันทึกของเข้า-ออก'!$J:$J,'บันทึกของเข้า-ออก'!$B:$B,สรุป!$C44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I$5,'บันทึกของเข้า-ออก'!$D:$D,"&gt;="&amp;สรุป!$F$2,'บันทึกของเข้า-ออก'!$D:$D,"&lt;="&amp;สรุป!$G$2)</f>
        <v>3</v>
      </c>
      <c r="J44" s="57">
        <f>AC44+SUMIFS('บันทึกของเข้า-ออก'!$J:$J,'บันทึกของเข้า-ออก'!$B:$B,สรุป!$C44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J$5,'บันทึกของเข้า-ออก'!$D:$D,"&gt;="&amp;สรุป!$F$2,'บันทึกของเข้า-ออก'!$D:$D,"&lt;="&amp;สรุป!$G$2)</f>
        <v>12</v>
      </c>
      <c r="K44" s="9">
        <f>AD44+SUMIFS('บันทึกของเข้า-ออก'!$J:$J,'บันทึกของเข้า-ออก'!$B:$B,สรุป!$C44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4" s="9">
        <f>AE44+SUMIFS('บันทึกของเข้า-ออก'!$J:$J,'บันทึกของเข้า-ออก'!$B:$B,สรุป!$C44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4" s="9">
        <v>107</v>
      </c>
      <c r="N44" s="9">
        <f>AG44+SUMIFS('บันทึกของเข้า-ออก'!$J:$J,'บันทึกของเข้า-ออก'!$B:$B,สรุป!$C44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44" s="9">
        <f>AH44+SUMIFS('บันทึกของเข้า-ออก'!$J:$J,'บันทึกของเข้า-ออก'!$B:$B,สรุป!$C44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O$5,'บันทึกของเข้า-ออก'!$D:$D,"&gt;="&amp;สรุป!$F$2,'บันทึกของเข้า-ออก'!$D:$D,"&lt;="&amp;สรุป!$G$2)</f>
        <v>432</v>
      </c>
      <c r="P44" s="9">
        <f>AI44+SUMIFS('บันทึกของเข้า-ออก'!$J:$J,'บันทึกของเข้า-ออก'!$B:$B,สรุป!$C44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4" s="9">
        <f>AJ44+SUMIFS('บันทึกของเข้า-ออก'!$J:$J,'บันทึกของเข้า-ออก'!$B:$B,สรุป!$C44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4" s="9">
        <f>AK44+SUMIFS('บันทึกของเข้า-ออก'!$J:$J,'บันทึกของเข้า-ออก'!$B:$B,สรุป!$C44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4" s="26"/>
      <c r="T44" s="33" t="s">
        <v>215</v>
      </c>
      <c r="U44" s="34"/>
      <c r="V44" s="25" t="str">
        <f t="shared" si="6"/>
        <v>เหล็กกล่อง 2"x2" 6.00 เมตร</v>
      </c>
      <c r="W44" s="79">
        <v>449</v>
      </c>
      <c r="X44" s="35" t="s">
        <v>57</v>
      </c>
      <c r="Y44" s="26">
        <v>0</v>
      </c>
      <c r="Z44" s="26">
        <v>0</v>
      </c>
      <c r="AA44" s="26">
        <v>0</v>
      </c>
      <c r="AB44" s="26">
        <v>3</v>
      </c>
      <c r="AC44" s="26">
        <v>40</v>
      </c>
      <c r="AD44" s="26">
        <v>0</v>
      </c>
      <c r="AE44" s="26">
        <v>0</v>
      </c>
      <c r="AF44" s="26">
        <v>266</v>
      </c>
      <c r="AG44" s="26">
        <v>0</v>
      </c>
      <c r="AH44" s="26">
        <v>140</v>
      </c>
      <c r="AI44" s="26">
        <v>0</v>
      </c>
      <c r="AJ44" s="26">
        <v>0</v>
      </c>
      <c r="AK44" s="26">
        <v>0</v>
      </c>
      <c r="AL44" s="34"/>
    </row>
    <row r="45" spans="1:38" x14ac:dyDescent="0.3">
      <c r="B45" s="43" t="s">
        <v>128</v>
      </c>
      <c r="C45" s="6" t="s">
        <v>32</v>
      </c>
      <c r="D45" s="79">
        <f t="shared" si="4"/>
        <v>1428</v>
      </c>
      <c r="E45" s="6" t="s">
        <v>57</v>
      </c>
      <c r="F45" s="9">
        <v>624</v>
      </c>
      <c r="G45" s="9"/>
      <c r="H45" s="9">
        <f>AA45+SUMIFS('บันทึกของเข้า-ออก'!$J:$J,'บันทึกของเข้า-ออก'!$B:$B,สรุป!$C45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H$5,'บันทึกของเข้า-ออก'!$D:$D,"&gt;="&amp;สรุป!$F$2,'บันทึกของเข้า-ออก'!$D:$D,"&lt;="&amp;สรุป!$G$2)</f>
        <v>148</v>
      </c>
      <c r="I45" s="9">
        <f>AB45+SUMIFS('บันทึกของเข้า-ออก'!$J:$J,'บันทึกของเข้า-ออก'!$B:$B,สรุป!$C45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45" s="57">
        <f>AC45+SUMIFS('บันทึกของเข้า-ออก'!$J:$J,'บันทึกของเข้า-ออก'!$B:$B,สรุป!$C45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J$5,'บันทึกของเข้า-ออก'!$D:$D,"&gt;="&amp;สรุป!$F$2,'บันทึกของเข้า-ออก'!$D:$D,"&lt;="&amp;สรุป!$G$2)</f>
        <v>-48</v>
      </c>
      <c r="K45" s="9">
        <f>AD45+SUMIFS('บันทึกของเข้า-ออก'!$J:$J,'บันทึกของเข้า-ออก'!$B:$B,สรุป!$C45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5" s="9">
        <f>AE45+SUMIFS('บันทึกของเข้า-ออก'!$J:$J,'บันทึกของเข้า-ออก'!$B:$B,สรุป!$C45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5" s="9">
        <f>AF45+SUMIFS('บันทึกของเข้า-ออก'!$J:$J,'บันทึกของเข้า-ออก'!$B:$B,สรุป!$C45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M$5,'บันทึกของเข้า-ออก'!$D:$D,"&gt;="&amp;สรุป!$F$2,'บันทึกของเข้า-ออก'!$D:$D,"&lt;="&amp;สรุป!$G$2)</f>
        <v>70</v>
      </c>
      <c r="N45" s="9">
        <f>AG45+SUMIFS('บันทึกของเข้า-ออก'!$J:$J,'บันทึกของเข้า-ออก'!$B:$B,สรุป!$C45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N$5,'บันทึกของเข้า-ออก'!$D:$D,"&gt;="&amp;สรุป!$F$2,'บันทึกของเข้า-ออก'!$D:$D,"&lt;="&amp;สรุป!$G$2)</f>
        <v>228</v>
      </c>
      <c r="O45" s="9">
        <f>AH45+SUMIFS('บันทึกของเข้า-ออก'!$J:$J,'บันทึกของเข้า-ออก'!$B:$B,สรุป!$C45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O$5,'บันทึกของเข้า-ออก'!$D:$D,"&gt;="&amp;สรุป!$F$2,'บันทึกของเข้า-ออก'!$D:$D,"&lt;="&amp;สรุป!$G$2)</f>
        <v>358</v>
      </c>
      <c r="P45" s="9">
        <f>AI45+SUMIFS('บันทึกของเข้า-ออก'!$J:$J,'บันทึกของเข้า-ออก'!$B:$B,สรุป!$C45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5" s="9">
        <f>AJ45+SUMIFS('บันทึกของเข้า-ออก'!$J:$J,'บันทึกของเข้า-ออก'!$B:$B,สรุป!$C45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5" s="9">
        <f>AK45+SUMIFS('บันทึกของเข้า-ออก'!$J:$J,'บันทึกของเข้า-ออก'!$B:$B,สรุป!$C45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5" s="26"/>
      <c r="T45" s="33"/>
      <c r="U45" s="34"/>
      <c r="V45" s="25" t="str">
        <f t="shared" si="6"/>
        <v>เหล็กกล่อง 2"x2" เศษ 1.00 ม.</v>
      </c>
      <c r="W45" s="79">
        <v>1553</v>
      </c>
      <c r="X45" s="35" t="s">
        <v>57</v>
      </c>
      <c r="Y45" s="26">
        <v>0</v>
      </c>
      <c r="Z45" s="26">
        <v>624</v>
      </c>
      <c r="AA45" s="26">
        <v>148</v>
      </c>
      <c r="AB45" s="26">
        <v>0</v>
      </c>
      <c r="AC45" s="26">
        <v>68</v>
      </c>
      <c r="AD45" s="26">
        <v>0</v>
      </c>
      <c r="AE45" s="26">
        <v>0</v>
      </c>
      <c r="AF45" s="26">
        <v>70</v>
      </c>
      <c r="AG45" s="26">
        <v>388</v>
      </c>
      <c r="AH45" s="26">
        <v>255</v>
      </c>
      <c r="AI45" s="26">
        <v>0</v>
      </c>
      <c r="AJ45" s="26">
        <v>0</v>
      </c>
      <c r="AK45" s="26">
        <v>0</v>
      </c>
      <c r="AL45" s="34"/>
    </row>
    <row r="46" spans="1:38" x14ac:dyDescent="0.3">
      <c r="B46" s="43" t="s">
        <v>128</v>
      </c>
      <c r="C46" s="6" t="s">
        <v>29</v>
      </c>
      <c r="D46" s="79">
        <f t="shared" si="4"/>
        <v>21</v>
      </c>
      <c r="E46" s="6" t="s">
        <v>57</v>
      </c>
      <c r="F46" s="9">
        <f>Y46+SUMIFS('บันทึกของเข้า-ออก'!$J:$J,'บันทึกของเข้า-ออก'!$B:$B,สรุป!$C46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46" s="9">
        <f>Z46+SUMIFS('บันทึกของเข้า-ออก'!$J:$J,'บันทึกของเข้า-ออก'!$B:$B,สรุป!$C46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6" s="9">
        <f>AA46+SUMIFS('บันทึกของเข้า-ออก'!$J:$J,'บันทึกของเข้า-ออก'!$B:$B,สรุป!$C46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6" s="9">
        <f>AB46+SUMIFS('บันทึกของเข้า-ออก'!$J:$J,'บันทึกของเข้า-ออก'!$B:$B,สรุป!$C46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I$5,'บันทึกของเข้า-ออก'!$D:$D,"&gt;="&amp;สรุป!$F$2,'บันทึกของเข้า-ออก'!$D:$D,"&lt;="&amp;สรุป!$G$2)</f>
        <v>21</v>
      </c>
      <c r="J46" s="57">
        <f>AC46+SUMIFS('บันทึกของเข้า-ออก'!$J:$J,'บันทึกของเข้า-ออก'!$B:$B,สรุป!$C46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46" s="9">
        <f>AD46+SUMIFS('บันทึกของเข้า-ออก'!$J:$J,'บันทึกของเข้า-ออก'!$B:$B,สรุป!$C46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6" s="9">
        <f>AE46+SUMIFS('บันทึกของเข้า-ออก'!$J:$J,'บันทึกของเข้า-ออก'!$B:$B,สรุป!$C46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6" s="9">
        <f>AF46+SUMIFS('บันทึกของเข้า-ออก'!$J:$J,'บันทึกของเข้า-ออก'!$B:$B,สรุป!$C46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46" s="9" t="s">
        <v>387</v>
      </c>
      <c r="O46" s="9">
        <f>AH46+SUMIFS('บันทึกของเข้า-ออก'!$J:$J,'บันทึกของเข้า-ออก'!$B:$B,สรุป!$C46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46" s="9">
        <f>AI46+SUMIFS('บันทึกของเข้า-ออก'!$J:$J,'บันทึกของเข้า-ออก'!$B:$B,สรุป!$C46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6" s="9">
        <f>AJ46+SUMIFS('บันทึกของเข้า-ออก'!$J:$J,'บันทึกของเข้า-ออก'!$B:$B,สรุป!$C46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6" s="9">
        <f>AK46+SUMIFS('บันทึกของเข้า-ออก'!$J:$J,'บันทึกของเข้า-ออก'!$B:$B,สรุป!$C46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6" s="26"/>
      <c r="T46" s="33"/>
      <c r="U46" s="34"/>
      <c r="V46" s="25" t="str">
        <f t="shared" si="6"/>
        <v>เหล็กกล่อง 2"x2" เศษ 1.50 ม.</v>
      </c>
      <c r="W46" s="79">
        <v>21</v>
      </c>
      <c r="X46" s="35" t="s">
        <v>57</v>
      </c>
      <c r="Y46" s="26">
        <v>0</v>
      </c>
      <c r="Z46" s="26">
        <v>0</v>
      </c>
      <c r="AA46" s="26">
        <v>0</v>
      </c>
      <c r="AB46" s="26">
        <v>21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34"/>
    </row>
    <row r="47" spans="1:38" ht="15" customHeight="1" x14ac:dyDescent="0.3">
      <c r="B47" s="43" t="s">
        <v>128</v>
      </c>
      <c r="C47" s="6" t="s">
        <v>30</v>
      </c>
      <c r="D47" s="79">
        <f t="shared" si="4"/>
        <v>526</v>
      </c>
      <c r="E47" s="6" t="s">
        <v>57</v>
      </c>
      <c r="F47" s="9">
        <f>Y47+SUMIFS('บันทึกของเข้า-ออก'!$J:$J,'บันทึกของเข้า-ออก'!$B:$B,สรุป!$C47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F$5,'บันทึกของเข้า-ออก'!$D:$D,"&gt;="&amp;สรุป!$F$2,'บันทึกของเข้า-ออก'!$D:$D,"&lt;="&amp;สรุป!$G$2)</f>
        <v>52</v>
      </c>
      <c r="G47" s="9">
        <f>Z47+SUMIFS('บันทึกของเข้า-ออก'!$J:$J,'บันทึกของเข้า-ออก'!$B:$B,สรุป!$C47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7" s="9">
        <f>AA47+SUMIFS('บันทึกของเข้า-ออก'!$J:$J,'บันทึกของเข้า-ออก'!$B:$B,สรุป!$C47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H$5,'บันทึกของเข้า-ออก'!$D:$D,"&gt;="&amp;สรุป!$F$2,'บันทึกของเข้า-ออก'!$D:$D,"&lt;="&amp;สรุป!$G$2)</f>
        <v>48</v>
      </c>
      <c r="I47" s="9"/>
      <c r="J47" s="57">
        <f>AC47+SUMIFS('บันทึกของเข้า-ออก'!$J:$J,'บันทึกของเข้า-ออก'!$B:$B,สรุป!$C47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J$5,'บันทึกของเข้า-ออก'!$D:$D,"&gt;="&amp;สรุป!$F$2,'บันทึกของเข้า-ออก'!$D:$D,"&lt;="&amp;สรุป!$G$2)</f>
        <v>-51</v>
      </c>
      <c r="K47" s="9">
        <f>AD47+SUMIFS('บันทึกของเข้า-ออก'!$J:$J,'บันทึกของเข้า-ออก'!$B:$B,สรุป!$C47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7" s="9">
        <f>AE47+SUMIFS('บันทึกของเข้า-ออก'!$J:$J,'บันทึกของเข้า-ออก'!$B:$B,สรุป!$C47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7" s="9">
        <f>AF47+SUMIFS('บันทึกของเข้า-ออก'!$J:$J,'บันทึกของเข้า-ออก'!$B:$B,สรุป!$C47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M$5,'บันทึกของเข้า-ออก'!$D:$D,"&gt;="&amp;สรุป!$F$2,'บันทึกของเข้า-ออก'!$D:$D,"&lt;="&amp;สรุป!$G$2)</f>
        <v>270</v>
      </c>
      <c r="N47" s="9">
        <f>AG47+SUMIFS('บันทึกของเข้า-ออก'!$J:$J,'บันทึกของเข้า-ออก'!$B:$B,สรุป!$C47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N$5,'บันทึกของเข้า-ออก'!$D:$D,"&gt;="&amp;สรุป!$F$2,'บันทึกของเข้า-ออก'!$D:$D,"&lt;="&amp;สรุป!$G$2)</f>
        <v>50</v>
      </c>
      <c r="O47" s="9">
        <f>AH47+SUMIFS('บันทึกของเข้า-ออก'!$J:$J,'บันทึกของเข้า-ออก'!$B:$B,สรุป!$C47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O$5,'บันทึกของเข้า-ออก'!$D:$D,"&gt;="&amp;สรุป!$F$2,'บันทึกของเข้า-ออก'!$D:$D,"&lt;="&amp;สรุป!$G$2)</f>
        <v>106</v>
      </c>
      <c r="P47" s="9">
        <f>AI47+SUMIFS('บันทึกของเข้า-ออก'!$J:$J,'บันทึกของเข้า-ออก'!$B:$B,สรุป!$C47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7" s="9">
        <f>AJ47+SUMIFS('บันทึกของเข้า-ออก'!$J:$J,'บันทึกของเข้า-ออก'!$B:$B,สรุป!$C47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7" s="9">
        <f>AK47+SUMIFS('บันทึกของเข้า-ออก'!$J:$J,'บันทึกของเข้า-ออก'!$B:$B,สรุป!$C47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7" s="26"/>
      <c r="T47" s="33"/>
      <c r="U47" s="34"/>
      <c r="V47" s="25" t="str">
        <f t="shared" si="6"/>
        <v>เหล็กกล่อง 2"x2" เศษ 2.00 ม.</v>
      </c>
      <c r="W47" s="79">
        <v>475</v>
      </c>
      <c r="X47" s="35" t="s">
        <v>57</v>
      </c>
      <c r="Y47" s="26">
        <v>0</v>
      </c>
      <c r="Z47" s="26">
        <v>0</v>
      </c>
      <c r="AA47" s="26">
        <v>48</v>
      </c>
      <c r="AB47" s="26" t="s">
        <v>372</v>
      </c>
      <c r="AC47" s="26">
        <v>32</v>
      </c>
      <c r="AD47" s="26">
        <v>0</v>
      </c>
      <c r="AE47" s="26">
        <v>0</v>
      </c>
      <c r="AF47" s="26">
        <v>270</v>
      </c>
      <c r="AG47" s="26">
        <v>40</v>
      </c>
      <c r="AH47" s="26">
        <v>85</v>
      </c>
      <c r="AI47" s="26">
        <v>0</v>
      </c>
      <c r="AJ47" s="26">
        <v>0</v>
      </c>
      <c r="AK47" s="26">
        <v>0</v>
      </c>
      <c r="AL47" s="34"/>
    </row>
    <row r="48" spans="1:38" x14ac:dyDescent="0.3">
      <c r="B48" s="43" t="s">
        <v>128</v>
      </c>
      <c r="C48" s="6" t="s">
        <v>160</v>
      </c>
      <c r="D48" s="79">
        <f t="shared" si="4"/>
        <v>90</v>
      </c>
      <c r="E48" s="6" t="s">
        <v>57</v>
      </c>
      <c r="F48" s="9">
        <f>Y48+SUMIFS('บันทึกของเข้า-ออก'!$J:$J,'บันทึกของเข้า-ออก'!$B:$B,สรุป!$C48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F$5,'บันทึกของเข้า-ออก'!$D:$D,"&gt;="&amp;สรุป!$F$2,'บันทึกของเข้า-ออก'!$D:$D,"&lt;="&amp;สรุป!$G$2)</f>
        <v>12</v>
      </c>
      <c r="G48" s="9">
        <f>Z48+SUMIFS('บันทึกของเข้า-ออก'!$J:$J,'บันทึกของเข้า-ออก'!$B:$B,สรุป!$C48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8" s="9">
        <f>AA48+SUMIFS('บันทึกของเข้า-ออก'!$J:$J,'บันทึกของเข้า-ออก'!$B:$B,สรุป!$C48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8" s="9">
        <f>AB48+SUMIFS('บันทึกของเข้า-ออก'!$J:$J,'บันทึกของเข้า-ออก'!$B:$B,สรุป!$C48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48" s="57">
        <f>AC48+SUMIFS('บันทึกของเข้า-ออก'!$J:$J,'บันทึกของเข้า-ออก'!$B:$B,สรุป!$C48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J$5,'บันทึกของเข้า-ออก'!$D:$D,"&gt;="&amp;สรุป!$F$2,'บันทึกของเข้า-ออก'!$D:$D,"&lt;="&amp;สรุป!$G$2)</f>
        <v>-12</v>
      </c>
      <c r="K48" s="9">
        <f>AD48+SUMIFS('บันทึกของเข้า-ออก'!$J:$J,'บันทึกของเข้า-ออก'!$B:$B,สรุป!$C48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8" s="9">
        <f>AE48+SUMIFS('บันทึกของเข้า-ออก'!$J:$J,'บันทึกของเข้า-ออก'!$B:$B,สรุป!$C48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8" s="9">
        <f>AF48+SUMIFS('บันทึกของเข้า-ออก'!$J:$J,'บันทึกของเข้า-ออก'!$B:$B,สรุป!$C48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48" s="9">
        <f>AG48+SUMIFS('บันทึกของเข้า-ออก'!$J:$J,'บันทึกของเข้า-ออก'!$B:$B,สรุป!$C48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N$5,'บันทึกของเข้า-ออก'!$D:$D,"&gt;="&amp;สรุป!$F$2,'บันทึกของเข้า-ออก'!$D:$D,"&lt;="&amp;สรุป!$G$2)</f>
        <v>78</v>
      </c>
      <c r="O48" s="9"/>
      <c r="P48" s="9">
        <f>AI48+SUMIFS('บันทึกของเข้า-ออก'!$J:$J,'บันทึกของเข้า-ออก'!$B:$B,สรุป!$C48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8" s="9">
        <f>AJ48+SUMIFS('บันทึกของเข้า-ออก'!$J:$J,'บันทึกของเข้า-ออก'!$B:$B,สรุป!$C48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8" s="9">
        <f>AK48+SUMIFS('บันทึกของเข้า-ออก'!$J:$J,'บันทึกของเข้า-ออก'!$B:$B,สรุป!$C48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8" s="26"/>
      <c r="T48" s="33"/>
      <c r="U48" s="34"/>
      <c r="V48" s="25" t="str">
        <f t="shared" si="6"/>
        <v>เหล็กกล่อง 2"x2" เศษ 2.50 ม.</v>
      </c>
      <c r="W48" s="79">
        <v>12</v>
      </c>
      <c r="X48" s="35" t="s">
        <v>57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90</v>
      </c>
      <c r="AH48" s="26" t="s">
        <v>378</v>
      </c>
      <c r="AI48" s="26">
        <v>0</v>
      </c>
      <c r="AJ48" s="26">
        <v>0</v>
      </c>
      <c r="AK48" s="26">
        <v>0</v>
      </c>
      <c r="AL48" s="34"/>
    </row>
    <row r="49" spans="2:38" x14ac:dyDescent="0.3">
      <c r="B49" s="43" t="s">
        <v>128</v>
      </c>
      <c r="C49" s="6" t="s">
        <v>31</v>
      </c>
      <c r="D49" s="79">
        <f t="shared" si="4"/>
        <v>138</v>
      </c>
      <c r="E49" s="6" t="s">
        <v>57</v>
      </c>
      <c r="F49" s="9">
        <f>Y49+SUMIFS('บันทึกของเข้า-ออก'!$J:$J,'บันทึกของเข้า-ออก'!$B:$B,สรุป!$C49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F$5,'บันทึกของเข้า-ออก'!$D:$D,"&gt;="&amp;สรุป!$F$2,'บันทึกของเข้า-ออก'!$D:$D,"&lt;="&amp;สรุป!$G$2)</f>
        <v>19</v>
      </c>
      <c r="G49" s="9">
        <f>Z49+SUMIFS('บันทึกของเข้า-ออก'!$J:$J,'บันทึกของเข้า-ออก'!$B:$B,สรุป!$C49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49" s="9">
        <f>AA49+SUMIFS('บันทึกของเข้า-ออก'!$J:$J,'บันทึกของเข้า-ออก'!$B:$B,สรุป!$C49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49" s="9">
        <f>AB49+SUMIFS('บันทึกของเข้า-ออก'!$J:$J,'บันทึกของเข้า-ออก'!$B:$B,สรุป!$C49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49" s="57">
        <f>AC49+SUMIFS('บันทึกของเข้า-ออก'!$J:$J,'บันทึกของเข้า-ออก'!$B:$B,สรุป!$C49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J$5,'บันทึกของเข้า-ออก'!$D:$D,"&gt;="&amp;สรุป!$F$2,'บันทึกของเข้า-ออก'!$D:$D,"&lt;="&amp;สรุป!$G$2)</f>
        <v>11</v>
      </c>
      <c r="K49" s="9">
        <f>AD49+SUMIFS('บันทึกของเข้า-ออก'!$J:$J,'บันทึกของเข้า-ออก'!$B:$B,สรุป!$C49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49" s="9">
        <f>AE49+SUMIFS('บันทึกของเข้า-ออก'!$J:$J,'บันทึกของเข้า-ออก'!$B:$B,สรุป!$C49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49" s="9">
        <f>AF49+SUMIFS('บันทึกของเข้า-ออก'!$J:$J,'บันทึกของเข้า-ออก'!$B:$B,สรุป!$C49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M$5,'บันทึกของเข้า-ออก'!$D:$D,"&gt;="&amp;สรุป!$F$2,'บันทึกของเข้า-ออก'!$D:$D,"&lt;="&amp;สรุป!$G$2)</f>
        <v>85</v>
      </c>
      <c r="N49" s="9">
        <f>AG49+SUMIFS('บันทึกของเข้า-ออก'!$J:$J,'บันทึกของเข้า-ออก'!$B:$B,สรุป!$C49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N$5,'บันทึกของเข้า-ออก'!$D:$D,"&gt;="&amp;สรุป!$F$2,'บันทึกของเข้า-ออก'!$D:$D,"&lt;="&amp;สรุป!$G$2)</f>
        <v>20</v>
      </c>
      <c r="O49" s="9">
        <f>AH49+SUMIFS('บันทึกของเข้า-ออก'!$J:$J,'บันทึกของเข้า-ออก'!$B:$B,สรุป!$C49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O$5,'บันทึกของเข้า-ออก'!$D:$D,"&gt;="&amp;สรุป!$F$2,'บันทึกของเข้า-ออก'!$D:$D,"&lt;="&amp;สรุป!$G$2)</f>
        <v>3</v>
      </c>
      <c r="P49" s="9">
        <f>AI49+SUMIFS('บันทึกของเข้า-ออก'!$J:$J,'บันทึกของเข้า-ออก'!$B:$B,สรุป!$C49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49" s="9">
        <f>AJ49+SUMIFS('บันทึกของเข้า-ออก'!$J:$J,'บันทึกของเข้า-ออก'!$B:$B,สรุป!$C49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49" s="9">
        <f>AK49+SUMIFS('บันทึกของเข้า-ออก'!$J:$J,'บันทึกของเข้า-ออก'!$B:$B,สรุป!$C49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49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49" s="26"/>
      <c r="T49" s="33"/>
      <c r="U49" s="34"/>
      <c r="V49" s="25" t="str">
        <f t="shared" si="6"/>
        <v>เหล็กกล่อง 2"x2" เศษ 3.00 ม.</v>
      </c>
      <c r="W49" s="79">
        <v>342</v>
      </c>
      <c r="X49" s="35" t="s">
        <v>57</v>
      </c>
      <c r="Y49" s="26">
        <v>0</v>
      </c>
      <c r="Z49" s="26">
        <v>0</v>
      </c>
      <c r="AA49" s="26">
        <v>0</v>
      </c>
      <c r="AB49" s="26">
        <v>0</v>
      </c>
      <c r="AC49" s="26">
        <v>33</v>
      </c>
      <c r="AD49" s="26">
        <v>0</v>
      </c>
      <c r="AE49" s="26">
        <v>0</v>
      </c>
      <c r="AF49" s="26">
        <v>85</v>
      </c>
      <c r="AG49" s="26">
        <v>0</v>
      </c>
      <c r="AH49" s="26">
        <v>0</v>
      </c>
      <c r="AI49" s="26">
        <v>0</v>
      </c>
      <c r="AJ49" s="26">
        <v>0</v>
      </c>
      <c r="AK49" s="26">
        <v>0</v>
      </c>
      <c r="AL49" s="34"/>
    </row>
    <row r="50" spans="2:38" x14ac:dyDescent="0.3">
      <c r="B50" s="43" t="s">
        <v>128</v>
      </c>
      <c r="C50" s="6" t="s">
        <v>108</v>
      </c>
      <c r="D50" s="81">
        <f t="shared" si="4"/>
        <v>342</v>
      </c>
      <c r="E50" s="6" t="s">
        <v>57</v>
      </c>
      <c r="F50" s="9">
        <f>Y50+SUMIFS('บันทึกของเข้า-ออก'!$J:$J,'บันทึกของเข้า-ออก'!$B:$B,สรุป!$C50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F$5,'บันทึกของเข้า-ออก'!$D:$D,"&gt;="&amp;สรุป!$F$2,'บันทึกของเข้า-ออก'!$D:$D,"&lt;="&amp;สรุป!$G$2)</f>
        <v>156</v>
      </c>
      <c r="G50" s="9">
        <f>Z50+SUMIFS('บันทึกของเข้า-ออก'!$J:$J,'บันทึกของเข้า-ออก'!$B:$B,สรุป!$C50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0" s="9">
        <f>AA50+SUMIFS('บันทึกของเข้า-ออก'!$J:$J,'บันทึกของเข้า-ออก'!$B:$B,สรุป!$C50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0" s="9">
        <f>AB50+SUMIFS('บันทึกของเข้า-ออก'!$J:$J,'บันทึกของเข้า-ออก'!$B:$B,สรุป!$C50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50" s="57">
        <f>AC50+SUMIFS('บันทึกของเข้า-ออก'!$J:$J,'บันทึกของเข้า-ออก'!$B:$B,สรุป!$C50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J$5,'บันทึกของเข้า-ออก'!$D:$D,"&gt;="&amp;สรุป!$F$2,'บันทึกของเข้า-ออก'!$D:$D,"&lt;="&amp;สรุป!$G$2)</f>
        <v>-54</v>
      </c>
      <c r="K50" s="9">
        <f>AD50+SUMIFS('บันทึกของเข้า-ออก'!$J:$J,'บันทึกของเข้า-ออก'!$B:$B,สรุป!$C50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0" s="9">
        <f>AE50+SUMIFS('บันทึกของเข้า-ออก'!$J:$J,'บันทึกของเข้า-ออก'!$B:$B,สรุป!$C50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0" s="9">
        <f>AF50+SUMIFS('บันทึกของเข้า-ออก'!$J:$J,'บันทึกของเข้า-ออก'!$B:$B,สรุป!$C50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0" s="9">
        <f>AG50+SUMIFS('บันทึกของเข้า-ออก'!$J:$J,'บันทึกของเข้า-ออก'!$B:$B,สรุป!$C50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0" s="9">
        <f>AH50+SUMIFS('บันทึกของเข้า-ออก'!$J:$J,'บันทึกของเข้า-ออก'!$B:$B,สรุป!$C50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O$5,'บันทึกของเข้า-ออก'!$D:$D,"&gt;="&amp;สรุป!$F$2,'บันทึกของเข้า-ออก'!$D:$D,"&lt;="&amp;สรุป!$G$2)</f>
        <v>186</v>
      </c>
      <c r="P50" s="9">
        <f>AI50+SUMIFS('บันทึกของเข้า-ออก'!$J:$J,'บันทึกของเข้า-ออก'!$B:$B,สรุป!$C50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0" s="9">
        <f>AJ50+SUMIFS('บันทึกของเข้า-ออก'!$J:$J,'บันทึกของเข้า-ออก'!$B:$B,สรุป!$C50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0" s="9">
        <f>AK50+SUMIFS('บันทึกของเข้า-ออก'!$J:$J,'บันทึกของเข้า-ออก'!$B:$B,สรุป!$C50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0" s="26"/>
      <c r="T50" s="33"/>
      <c r="U50" s="34"/>
      <c r="V50" s="25" t="str">
        <f t="shared" si="6"/>
        <v>เหล็กกล่อง 2"x2" เศษไม่เกิน 1.00 ม.</v>
      </c>
      <c r="W50" s="79">
        <v>450</v>
      </c>
      <c r="X50" s="35" t="s">
        <v>57</v>
      </c>
      <c r="Y50" s="26">
        <v>156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132</v>
      </c>
      <c r="AI50" s="26">
        <v>0</v>
      </c>
      <c r="AJ50" s="26">
        <v>0</v>
      </c>
      <c r="AK50" s="26">
        <v>0</v>
      </c>
      <c r="AL50" s="34"/>
    </row>
    <row r="51" spans="2:38" x14ac:dyDescent="0.3">
      <c r="B51" s="43" t="s">
        <v>128</v>
      </c>
      <c r="C51" s="6" t="s">
        <v>33</v>
      </c>
      <c r="D51" s="79">
        <f t="shared" si="4"/>
        <v>8</v>
      </c>
      <c r="E51" s="6" t="s">
        <v>57</v>
      </c>
      <c r="F51" s="9">
        <f>Y51+SUMIFS('บันทึกของเข้า-ออก'!$J:$J,'บันทึกของเข้า-ออก'!$B:$B,สรุป!$C51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F$5,'บันทึกของเข้า-ออก'!$D:$D,"&gt;="&amp;สรุป!$F$2,'บันทึกของเข้า-ออก'!$D:$D,"&lt;="&amp;สรุป!$G$2)</f>
        <v>8</v>
      </c>
      <c r="G51" s="9">
        <f>Z51+SUMIFS('บันทึกของเข้า-ออก'!$J:$J,'บันทึกของเข้า-ออก'!$B:$B,สรุป!$C51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1" s="9">
        <f>AA51+SUMIFS('บันทึกของเข้า-ออก'!$J:$J,'บันทึกของเข้า-ออก'!$B:$B,สรุป!$C51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1" s="9">
        <f>AB51+SUMIFS('บันทึกของเข้า-ออก'!$J:$J,'บันทึกของเข้า-ออก'!$B:$B,สรุป!$C51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51" s="9">
        <f>AC51+SUMIFS('บันทึกของเข้า-ออก'!$J:$J,'บันทึกของเข้า-ออก'!$B:$B,สรุป!$C51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1" s="9">
        <f>AD51+SUMIFS('บันทึกของเข้า-ออก'!$J:$J,'บันทึกของเข้า-ออก'!$B:$B,สรุป!$C51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1" s="9">
        <f>AE51+SUMIFS('บันทึกของเข้า-ออก'!$J:$J,'บันทึกของเข้า-ออก'!$B:$B,สรุป!$C51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1" s="9">
        <f>AF51+SUMIFS('บันทึกของเข้า-ออก'!$J:$J,'บันทึกของเข้า-ออก'!$B:$B,สรุป!$C51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1" s="9">
        <f>AG51+SUMIFS('บันทึกของเข้า-ออก'!$J:$J,'บันทึกของเข้า-ออก'!$B:$B,สรุป!$C51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1" s="9">
        <f>AH51+SUMIFS('บันทึกของเข้า-ออก'!$J:$J,'บันทึกของเข้า-ออก'!$B:$B,สรุป!$C51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1" s="9">
        <f>AI51+SUMIFS('บันทึกของเข้า-ออก'!$J:$J,'บันทึกของเข้า-ออก'!$B:$B,สรุป!$C51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1" s="9">
        <f>AJ51+SUMIFS('บันทึกของเข้า-ออก'!$J:$J,'บันทึกของเข้า-ออก'!$B:$B,สรุป!$C51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1" s="9">
        <f>AK51+SUMIFS('บันทึกของเข้า-ออก'!$J:$J,'บันทึกของเข้า-ออก'!$B:$B,สรุป!$C51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1" s="26"/>
      <c r="T51" s="33"/>
      <c r="U51" s="34"/>
      <c r="V51" s="25" t="str">
        <f t="shared" si="6"/>
        <v>เหล็กกล่อง 2"x4" เศษ 2.00 ม.</v>
      </c>
      <c r="W51" s="79">
        <v>8</v>
      </c>
      <c r="X51" s="35" t="s">
        <v>57</v>
      </c>
      <c r="Y51" s="26">
        <v>8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34"/>
    </row>
    <row r="52" spans="2:38" x14ac:dyDescent="0.3">
      <c r="B52" s="43" t="s">
        <v>128</v>
      </c>
      <c r="C52" s="6" t="s">
        <v>168</v>
      </c>
      <c r="D52" s="79">
        <f t="shared" si="4"/>
        <v>3</v>
      </c>
      <c r="E52" s="6" t="s">
        <v>57</v>
      </c>
      <c r="F52" s="9">
        <f>Y52+SUMIFS('บันทึกของเข้า-ออก'!$J:$J,'บันทึกของเข้า-ออก'!$B:$B,สรุป!$C52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2" s="9">
        <f>Z52+SUMIFS('บันทึกของเข้า-ออก'!$J:$J,'บันทึกของเข้า-ออก'!$B:$B,สรุป!$C52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2" s="9">
        <f>AA52+SUMIFS('บันทึกของเข้า-ออก'!$J:$J,'บันทึกของเข้า-ออก'!$B:$B,สรุป!$C52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2" s="9">
        <f>AB52+SUMIFS('บันทึกของเข้า-ออก'!$J:$J,'บันทึกของเข้า-ออก'!$B:$B,สรุป!$C52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I$5,'บันทึกของเข้า-ออก'!$D:$D,"&gt;="&amp;สรุป!$F$2,'บันทึกของเข้า-ออก'!$D:$D,"&lt;="&amp;สรุป!$G$2)</f>
        <v>3</v>
      </c>
      <c r="J52" s="9">
        <f>AC52+SUMIFS('บันทึกของเข้า-ออก'!$J:$J,'บันทึกของเข้า-ออก'!$B:$B,สรุป!$C52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2" s="9">
        <f>AD52+SUMIFS('บันทึกของเข้า-ออก'!$J:$J,'บันทึกของเข้า-ออก'!$B:$B,สรุป!$C52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2" s="9">
        <f>AE52+SUMIFS('บันทึกของเข้า-ออก'!$J:$J,'บันทึกของเข้า-ออก'!$B:$B,สรุป!$C52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2" s="9">
        <f>AF52+SUMIFS('บันทึกของเข้า-ออก'!$J:$J,'บันทึกของเข้า-ออก'!$B:$B,สรุป!$C52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2" s="9">
        <f>AG52+SUMIFS('บันทึกของเข้า-ออก'!$J:$J,'บันทึกของเข้า-ออก'!$B:$B,สรุป!$C52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2" s="9">
        <f>AH52+SUMIFS('บันทึกของเข้า-ออก'!$J:$J,'บันทึกของเข้า-ออก'!$B:$B,สรุป!$C52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2" s="9">
        <f>AI52+SUMIFS('บันทึกของเข้า-ออก'!$J:$J,'บันทึกของเข้า-ออก'!$B:$B,สรุป!$C52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2" s="9">
        <f>AJ52+SUMIFS('บันทึกของเข้า-ออก'!$J:$J,'บันทึกของเข้า-ออก'!$B:$B,สรุป!$C52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2" s="9">
        <f>AK52+SUMIFS('บันทึกของเข้า-ออก'!$J:$J,'บันทึกของเข้า-ออก'!$B:$B,สรุป!$C52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2" s="26"/>
      <c r="T52" s="33"/>
      <c r="U52" s="34"/>
      <c r="V52" s="25" t="str">
        <f t="shared" si="6"/>
        <v>เหล็กกล่อง 2"x4" เศษ 3-4 ม.</v>
      </c>
      <c r="W52" s="79">
        <v>3</v>
      </c>
      <c r="X52" s="35" t="s">
        <v>57</v>
      </c>
      <c r="Y52" s="26">
        <v>0</v>
      </c>
      <c r="Z52" s="26">
        <v>0</v>
      </c>
      <c r="AA52" s="26">
        <v>0</v>
      </c>
      <c r="AB52" s="26">
        <v>3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6">
        <v>0</v>
      </c>
      <c r="AK52" s="26">
        <v>0</v>
      </c>
      <c r="AL52" s="34"/>
    </row>
    <row r="53" spans="2:38" x14ac:dyDescent="0.3">
      <c r="B53" s="43" t="s">
        <v>128</v>
      </c>
      <c r="C53" s="6" t="s">
        <v>114</v>
      </c>
      <c r="D53" s="79">
        <f t="shared" si="4"/>
        <v>3</v>
      </c>
      <c r="E53" s="6" t="s">
        <v>57</v>
      </c>
      <c r="F53" s="9">
        <f>Y53+SUMIFS('บันทึกของเข้า-ออก'!$J:$J,'บันทึกของเข้า-ออก'!$B:$B,สรุป!$C53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3" s="9">
        <f>Z53+SUMIFS('บันทึกของเข้า-ออก'!$J:$J,'บันทึกของเข้า-ออก'!$B:$B,สรุป!$C53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3" s="9">
        <f>AA53+SUMIFS('บันทึกของเข้า-ออก'!$J:$J,'บันทึกของเข้า-ออก'!$B:$B,สรุป!$C53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3" s="9">
        <f>AB53+SUMIFS('บันทึกของเข้า-ออก'!$J:$J,'บันทึกของเข้า-ออก'!$B:$B,สรุป!$C53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I$5,'บันทึกของเข้า-ออก'!$D:$D,"&gt;="&amp;สรุป!$F$2,'บันทึกของเข้า-ออก'!$D:$D,"&lt;="&amp;สรุป!$G$2)</f>
        <v>3</v>
      </c>
      <c r="J53" s="9">
        <f>AC53+SUMIFS('บันทึกของเข้า-ออก'!$J:$J,'บันทึกของเข้า-ออก'!$B:$B,สรุป!$C53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3" s="9">
        <f>AD53+SUMIFS('บันทึกของเข้า-ออก'!$J:$J,'บันทึกของเข้า-ออก'!$B:$B,สรุป!$C53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3" s="9">
        <f>AE53+SUMIFS('บันทึกของเข้า-ออก'!$J:$J,'บันทึกของเข้า-ออก'!$B:$B,สรุป!$C53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3" s="9">
        <f>AF53+SUMIFS('บันทึกของเข้า-ออก'!$J:$J,'บันทึกของเข้า-ออก'!$B:$B,สรุป!$C53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3" s="9">
        <f>AG53+SUMIFS('บันทึกของเข้า-ออก'!$J:$J,'บันทึกของเข้า-ออก'!$B:$B,สรุป!$C53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3" s="9">
        <f>AH53+SUMIFS('บันทึกของเข้า-ออก'!$J:$J,'บันทึกของเข้า-ออก'!$B:$B,สรุป!$C53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3" s="9">
        <f>AI53+SUMIFS('บันทึกของเข้า-ออก'!$J:$J,'บันทึกของเข้า-ออก'!$B:$B,สรุป!$C53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3" s="9">
        <f>AJ53+SUMIFS('บันทึกของเข้า-ออก'!$J:$J,'บันทึกของเข้า-ออก'!$B:$B,สรุป!$C53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3" s="9">
        <f>AK53+SUMIFS('บันทึกของเข้า-ออก'!$J:$J,'บันทึกของเข้า-ออก'!$B:$B,สรุป!$C53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3" s="26"/>
      <c r="T53" s="33"/>
      <c r="U53" s="34"/>
      <c r="V53" s="25" t="str">
        <f t="shared" si="6"/>
        <v>เหล็กกล่อง 2*4 ยาว 6 ม.</v>
      </c>
      <c r="W53" s="79">
        <v>4</v>
      </c>
      <c r="X53" s="35" t="s">
        <v>57</v>
      </c>
      <c r="Y53" s="26">
        <v>0</v>
      </c>
      <c r="Z53" s="26">
        <v>0</v>
      </c>
      <c r="AA53" s="26">
        <v>0</v>
      </c>
      <c r="AB53" s="26">
        <v>3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34"/>
    </row>
    <row r="54" spans="2:38" x14ac:dyDescent="0.3">
      <c r="B54" s="43" t="s">
        <v>128</v>
      </c>
      <c r="C54" s="6" t="s">
        <v>116</v>
      </c>
      <c r="D54" s="79">
        <f t="shared" si="4"/>
        <v>2</v>
      </c>
      <c r="E54" s="6" t="s">
        <v>57</v>
      </c>
      <c r="F54" s="9">
        <f>Y54+SUMIFS('บันทึกของเข้า-ออก'!$J:$J,'บันทึกของเข้า-ออก'!$B:$B,สรุป!$C54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4" s="9">
        <f>Z54+SUMIFS('บันทึกของเข้า-ออก'!$J:$J,'บันทึกของเข้า-ออก'!$B:$B,สรุป!$C54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4" s="9">
        <f>AA54+SUMIFS('บันทึกของเข้า-ออก'!$J:$J,'บันทึกของเข้า-ออก'!$B:$B,สรุป!$C54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4" s="9">
        <f>AB54+SUMIFS('บันทึกของเข้า-ออก'!$J:$J,'บันทึกของเข้า-ออก'!$B:$B,สรุป!$C54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I$5,'บันทึกของเข้า-ออก'!$D:$D,"&gt;="&amp;สรุป!$F$2,'บันทึกของเข้า-ออก'!$D:$D,"&lt;="&amp;สรุป!$G$2)</f>
        <v>2</v>
      </c>
      <c r="J54" s="9">
        <f>AC54+SUMIFS('บันทึกของเข้า-ออก'!$J:$J,'บันทึกของเข้า-ออก'!$B:$B,สรุป!$C54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4" s="9">
        <f>AD54+SUMIFS('บันทึกของเข้า-ออก'!$J:$J,'บันทึกของเข้า-ออก'!$B:$B,สรุป!$C54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4" s="9">
        <f>AE54+SUMIFS('บันทึกของเข้า-ออก'!$J:$J,'บันทึกของเข้า-ออก'!$B:$B,สรุป!$C54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4" s="9">
        <f>AF54+SUMIFS('บันทึกของเข้า-ออก'!$J:$J,'บันทึกของเข้า-ออก'!$B:$B,สรุป!$C54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4" s="9">
        <f>AG54+SUMIFS('บันทึกของเข้า-ออก'!$J:$J,'บันทึกของเข้า-ออก'!$B:$B,สรุป!$C54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4" s="9">
        <f>AH54+SUMIFS('บันทึกของเข้า-ออก'!$J:$J,'บันทึกของเข้า-ออก'!$B:$B,สรุป!$C54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4" s="9">
        <f>AI54+SUMIFS('บันทึกของเข้า-ออก'!$J:$J,'บันทึกของเข้า-ออก'!$B:$B,สรุป!$C54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4" s="9">
        <f>AJ54+SUMIFS('บันทึกของเข้า-ออก'!$J:$J,'บันทึกของเข้า-ออก'!$B:$B,สรุป!$C54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4" s="9">
        <f>AK54+SUMIFS('บันทึกของเข้า-ออก'!$J:$J,'บันทึกของเข้า-ออก'!$B:$B,สรุป!$C54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4" s="26"/>
      <c r="T54" s="33"/>
      <c r="U54" s="34"/>
      <c r="V54" s="25" t="str">
        <f t="shared" si="6"/>
        <v>เหล็กกล่อง 2*8 ยาว 6 ม.</v>
      </c>
      <c r="W54" s="79">
        <v>2</v>
      </c>
      <c r="X54" s="35" t="s">
        <v>57</v>
      </c>
      <c r="Y54" s="26">
        <v>0</v>
      </c>
      <c r="Z54" s="26">
        <v>0</v>
      </c>
      <c r="AA54" s="26">
        <v>0</v>
      </c>
      <c r="AB54" s="26">
        <v>2</v>
      </c>
      <c r="AC54" s="26">
        <v>0</v>
      </c>
      <c r="AD54" s="26">
        <v>0</v>
      </c>
      <c r="AE54" s="26">
        <v>0</v>
      </c>
      <c r="AF54" s="26">
        <v>0</v>
      </c>
      <c r="AG54" s="26">
        <v>0</v>
      </c>
      <c r="AH54" s="26">
        <v>0</v>
      </c>
      <c r="AI54" s="26">
        <v>0</v>
      </c>
      <c r="AJ54" s="26">
        <v>0</v>
      </c>
      <c r="AK54" s="26">
        <v>0</v>
      </c>
      <c r="AL54" s="34"/>
    </row>
    <row r="55" spans="2:38" x14ac:dyDescent="0.3">
      <c r="B55" s="43" t="s">
        <v>128</v>
      </c>
      <c r="C55" s="6" t="s">
        <v>73</v>
      </c>
      <c r="D55" s="79">
        <f t="shared" si="4"/>
        <v>0</v>
      </c>
      <c r="E55" s="6" t="s">
        <v>57</v>
      </c>
      <c r="F55" s="9">
        <f>Y55+SUMIFS('บันทึกของเข้า-ออก'!$J:$J,'บันทึกของเข้า-ออก'!$B:$B,สรุป!$C55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5" s="9">
        <f>Z55+SUMIFS('บันทึกของเข้า-ออก'!$J:$J,'บันทึกของเข้า-ออก'!$B:$B,สรุป!$C55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5" s="9">
        <f>AA55+SUMIFS('บันทึกของเข้า-ออก'!$J:$J,'บันทึกของเข้า-ออก'!$B:$B,สรุป!$C55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5" s="9">
        <f>AB55+SUMIFS('บันทึกของเข้า-ออก'!$J:$J,'บันทึกของเข้า-ออก'!$B:$B,สรุป!$C55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55" s="9">
        <f>AC55+SUMIFS('บันทึกของเข้า-ออก'!$J:$J,'บันทึกของเข้า-ออก'!$B:$B,สรุป!$C55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5" s="9">
        <f>AD55+SUMIFS('บันทึกของเข้า-ออก'!$J:$J,'บันทึกของเข้า-ออก'!$B:$B,สรุป!$C55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5" s="9">
        <f>AE55+SUMIFS('บันทึกของเข้า-ออก'!$J:$J,'บันทึกของเข้า-ออก'!$B:$B,สรุป!$C55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5" s="9">
        <f>AF55+SUMIFS('บันทึกของเข้า-ออก'!$J:$J,'บันทึกของเข้า-ออก'!$B:$B,สรุป!$C55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5" s="9">
        <f>AG55+SUMIFS('บันทึกของเข้า-ออก'!$J:$J,'บันทึกของเข้า-ออก'!$B:$B,สรุป!$C55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5" s="9">
        <f>AH55+SUMIFS('บันทึกของเข้า-ออก'!$J:$J,'บันทึกของเข้า-ออก'!$B:$B,สรุป!$C55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5" s="9">
        <f>AI55+SUMIFS('บันทึกของเข้า-ออก'!$J:$J,'บันทึกของเข้า-ออก'!$B:$B,สรุป!$C55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5" s="9">
        <f>AJ55+SUMIFS('บันทึกของเข้า-ออก'!$J:$J,'บันทึกของเข้า-ออก'!$B:$B,สรุป!$C55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5" s="9">
        <f>AK55+SUMIFS('บันทึกของเข้า-ออก'!$J:$J,'บันทึกของเข้า-ออก'!$B:$B,สรุป!$C55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5" s="26"/>
      <c r="T55" s="33"/>
      <c r="U55" s="34"/>
      <c r="V55" s="25" t="str">
        <f t="shared" si="6"/>
        <v>เหล็กกล่อง 3"x3" ยาว 1.00 ม.</v>
      </c>
      <c r="W55" s="79">
        <v>9</v>
      </c>
      <c r="X55" s="35" t="s">
        <v>57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34"/>
    </row>
    <row r="56" spans="2:38" x14ac:dyDescent="0.3">
      <c r="B56" s="43" t="s">
        <v>128</v>
      </c>
      <c r="C56" s="6" t="s">
        <v>72</v>
      </c>
      <c r="D56" s="79">
        <f t="shared" si="4"/>
        <v>0</v>
      </c>
      <c r="E56" s="6" t="s">
        <v>57</v>
      </c>
      <c r="F56" s="9">
        <f>Y56+SUMIFS('บันทึกของเข้า-ออก'!$J:$J,'บันทึกของเข้า-ออก'!$B:$B,สรุป!$C56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6" s="9">
        <f>Z56+SUMIFS('บันทึกของเข้า-ออก'!$J:$J,'บันทึกของเข้า-ออก'!$B:$B,สรุป!$C56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6" s="9">
        <f>AA56+SUMIFS('บันทึกของเข้า-ออก'!$J:$J,'บันทึกของเข้า-ออก'!$B:$B,สรุป!$C56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6" s="9">
        <f>AB56+SUMIFS('บันทึกของเข้า-ออก'!$J:$J,'บันทึกของเข้า-ออก'!$B:$B,สรุป!$C56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56" s="9">
        <f>AC56+SUMIFS('บันทึกของเข้า-ออก'!$J:$J,'บันทึกของเข้า-ออก'!$B:$B,สรุป!$C56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6" s="9">
        <f>AD56+SUMIFS('บันทึกของเข้า-ออก'!$J:$J,'บันทึกของเข้า-ออก'!$B:$B,สรุป!$C56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6" s="9">
        <f>AE56+SUMIFS('บันทึกของเข้า-ออก'!$J:$J,'บันทึกของเข้า-ออก'!$B:$B,สรุป!$C56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6" s="9">
        <f>AF56+SUMIFS('บันทึกของเข้า-ออก'!$J:$J,'บันทึกของเข้า-ออก'!$B:$B,สรุป!$C56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6" s="9">
        <f>AG56+SUMIFS('บันทึกของเข้า-ออก'!$J:$J,'บันทึกของเข้า-ออก'!$B:$B,สรุป!$C56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6" s="9">
        <f>AH56+SUMIFS('บันทึกของเข้า-ออก'!$J:$J,'บันทึกของเข้า-ออก'!$B:$B,สรุป!$C56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6" s="9">
        <f>AI56+SUMIFS('บันทึกของเข้า-ออก'!$J:$J,'บันทึกของเข้า-ออก'!$B:$B,สรุป!$C56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6" s="9">
        <f>AJ56+SUMIFS('บันทึกของเข้า-ออก'!$J:$J,'บันทึกของเข้า-ออก'!$B:$B,สรุป!$C56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6" s="9">
        <f>AK56+SUMIFS('บันทึกของเข้า-ออก'!$J:$J,'บันทึกของเข้า-ออก'!$B:$B,สรุป!$C56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6" s="26"/>
      <c r="T56" s="33"/>
      <c r="U56" s="34"/>
      <c r="V56" s="25" t="str">
        <f t="shared" si="6"/>
        <v>เหล็กกล่อง 3"x3" ยาว 2.00 ม.</v>
      </c>
      <c r="W56" s="79">
        <v>2</v>
      </c>
      <c r="X56" s="35" t="s">
        <v>57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0</v>
      </c>
      <c r="AK56" s="26">
        <v>0</v>
      </c>
      <c r="AL56" s="34"/>
    </row>
    <row r="57" spans="2:38" x14ac:dyDescent="0.3">
      <c r="B57" s="43" t="s">
        <v>128</v>
      </c>
      <c r="C57" s="6" t="s">
        <v>74</v>
      </c>
      <c r="D57" s="79">
        <f t="shared" si="4"/>
        <v>0</v>
      </c>
      <c r="E57" s="6" t="s">
        <v>57</v>
      </c>
      <c r="F57" s="9">
        <f>Y57+SUMIFS('บันทึกของเข้า-ออก'!$J:$J,'บันทึกของเข้า-ออก'!$B:$B,สรุป!$C57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7" s="9">
        <f>Z57+SUMIFS('บันทึกของเข้า-ออก'!$J:$J,'บันทึกของเข้า-ออก'!$B:$B,สรุป!$C57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7" s="9">
        <f>AA57+SUMIFS('บันทึกของเข้า-ออก'!$J:$J,'บันทึกของเข้า-ออก'!$B:$B,สรุป!$C57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7" s="9">
        <f>AB57+SUMIFS('บันทึกของเข้า-ออก'!$J:$J,'บันทึกของเข้า-ออก'!$B:$B,สรุป!$C57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57" s="9">
        <f>AC57+SUMIFS('บันทึกของเข้า-ออก'!$J:$J,'บันทึกของเข้า-ออก'!$B:$B,สรุป!$C57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7" s="9">
        <f>AD57+SUMIFS('บันทึกของเข้า-ออก'!$J:$J,'บันทึกของเข้า-ออก'!$B:$B,สรุป!$C57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7" s="9">
        <f>AE57+SUMIFS('บันทึกของเข้า-ออก'!$J:$J,'บันทึกของเข้า-ออก'!$B:$B,สรุป!$C57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7" s="9">
        <f>AF57+SUMIFS('บันทึกของเข้า-ออก'!$J:$J,'บันทึกของเข้า-ออก'!$B:$B,สรุป!$C57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7" s="9">
        <f>AG57+SUMIFS('บันทึกของเข้า-ออก'!$J:$J,'บันทึกของเข้า-ออก'!$B:$B,สรุป!$C57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7" s="9">
        <f>AH57+SUMIFS('บันทึกของเข้า-ออก'!$J:$J,'บันทึกของเข้า-ออก'!$B:$B,สรุป!$C57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7" s="9">
        <f>AI57+SUMIFS('บันทึกของเข้า-ออก'!$J:$J,'บันทึกของเข้า-ออก'!$B:$B,สรุป!$C57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7" s="9">
        <f>AJ57+SUMIFS('บันทึกของเข้า-ออก'!$J:$J,'บันทึกของเข้า-ออก'!$B:$B,สรุป!$C57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7" s="9">
        <f>AK57+SUMIFS('บันทึกของเข้า-ออก'!$J:$J,'บันทึกของเข้า-ออก'!$B:$B,สรุป!$C57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7" s="26"/>
      <c r="T57" s="33"/>
      <c r="U57" s="34"/>
      <c r="V57" s="25" t="str">
        <f t="shared" si="6"/>
        <v>เหล็กกล่อง 3"x3" ยาว 6.00 ม.</v>
      </c>
      <c r="W57" s="79">
        <v>15</v>
      </c>
      <c r="X57" s="35" t="s">
        <v>57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34"/>
    </row>
    <row r="58" spans="2:38" x14ac:dyDescent="0.3">
      <c r="B58" s="43" t="s">
        <v>402</v>
      </c>
      <c r="C58" s="6" t="s">
        <v>36</v>
      </c>
      <c r="D58" s="79">
        <f t="shared" si="4"/>
        <v>153</v>
      </c>
      <c r="E58" s="6" t="s">
        <v>57</v>
      </c>
      <c r="F58" s="9">
        <f>Y58+SUMIFS('บันทึกของเข้า-ออก'!$J:$J,'บันทึกของเข้า-ออก'!$B:$B,สรุป!$C58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8" s="9">
        <f>Z58+SUMIFS('บันทึกของเข้า-ออก'!$J:$J,'บันทึกของเข้า-ออก'!$B:$B,สรุป!$C58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8" s="9">
        <f>AA58+SUMIFS('บันทึกของเข้า-ออก'!$J:$J,'บันทึกของเข้า-ออก'!$B:$B,สรุป!$C58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8" s="9">
        <f>AB58+SUMIFS('บันทึกของเข้า-ออก'!$J:$J,'บันทึกของเข้า-ออก'!$B:$B,สรุป!$C58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I$5,'บันทึกของเข้า-ออก'!$D:$D,"&gt;="&amp;สรุป!$F$2,'บันทึกของเข้า-ออก'!$D:$D,"&lt;="&amp;สรุป!$G$2)</f>
        <v>2</v>
      </c>
      <c r="J58" s="57">
        <f>AC58+SUMIFS('บันทึกของเข้า-ออก'!$J:$J,'บันทึกของเข้า-ออก'!$B:$B,สรุป!$C58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J$5,'บันทึกของเข้า-ออก'!$D:$D,"&gt;="&amp;สรุป!$F$2,'บันทึกของเข้า-ออก'!$D:$D,"&lt;="&amp;สรุป!$G$2)</f>
        <v>2</v>
      </c>
      <c r="K58" s="9">
        <f>AD58+SUMIFS('บันทึกของเข้า-ออก'!$J:$J,'บันทึกของเข้า-ออก'!$B:$B,สรุป!$C58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8" s="9">
        <f>AE58+SUMIFS('บันทึกของเข้า-ออก'!$J:$J,'บันทึกของเข้า-ออก'!$B:$B,สรุป!$C58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8" s="9">
        <v>11</v>
      </c>
      <c r="N58" s="9">
        <f>AG58+SUMIFS('บันทึกของเข้า-ออก'!$J:$J,'บันทึกของเข้า-ออก'!$B:$B,สรุป!$C58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8" s="9">
        <f>AH58+SUMIFS('บันทึกของเข้า-ออก'!$J:$J,'บันทึกของเข้า-ออก'!$B:$B,สรุป!$C58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O$5,'บันทึกของเข้า-ออก'!$D:$D,"&gt;="&amp;สรุป!$F$2,'บันทึกของเข้า-ออก'!$D:$D,"&lt;="&amp;สรุป!$G$2)</f>
        <v>138</v>
      </c>
      <c r="P58" s="9">
        <f>AI58+SUMIFS('บันทึกของเข้า-ออก'!$J:$J,'บันทึกของเข้า-ออก'!$B:$B,สรุป!$C58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8" s="9">
        <f>AJ58+SUMIFS('บันทึกของเข้า-ออก'!$J:$J,'บันทึกของเข้า-ออก'!$B:$B,สรุป!$C58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8" s="9">
        <f>AK58+SUMIFS('บันทึกของเข้า-ออก'!$J:$J,'บันทึกของเข้า-ออก'!$B:$B,สรุป!$C58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8" s="26"/>
      <c r="T58" s="33"/>
      <c r="U58" s="34"/>
      <c r="V58" s="25" t="str">
        <f t="shared" si="6"/>
        <v>เหล็กกล่อง 4"x4" 6.00 เมตร</v>
      </c>
      <c r="W58" s="79">
        <v>125</v>
      </c>
      <c r="X58" s="35" t="s">
        <v>57</v>
      </c>
      <c r="Y58" s="26">
        <v>0</v>
      </c>
      <c r="Z58" s="26">
        <v>0</v>
      </c>
      <c r="AA58" s="26">
        <v>0</v>
      </c>
      <c r="AB58" s="26">
        <v>2</v>
      </c>
      <c r="AC58" s="26">
        <v>2</v>
      </c>
      <c r="AD58" s="26">
        <v>0</v>
      </c>
      <c r="AE58" s="26">
        <v>0</v>
      </c>
      <c r="AF58" s="26">
        <v>62</v>
      </c>
      <c r="AG58" s="26">
        <v>0</v>
      </c>
      <c r="AH58" s="26">
        <v>34</v>
      </c>
      <c r="AI58" s="26">
        <v>0</v>
      </c>
      <c r="AJ58" s="26">
        <v>0</v>
      </c>
      <c r="AK58" s="26">
        <v>0</v>
      </c>
      <c r="AL58" s="34"/>
    </row>
    <row r="59" spans="2:38" x14ac:dyDescent="0.3">
      <c r="B59" s="43" t="s">
        <v>402</v>
      </c>
      <c r="C59" s="6" t="s">
        <v>37</v>
      </c>
      <c r="D59" s="79">
        <f t="shared" si="4"/>
        <v>0</v>
      </c>
      <c r="E59" s="6" t="s">
        <v>57</v>
      </c>
      <c r="F59" s="9">
        <f>Y59+SUMIFS('บันทึกของเข้า-ออก'!$J:$J,'บันทึกของเข้า-ออก'!$B:$B,สรุป!$C59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59" s="9">
        <f>Z59+SUMIFS('บันทึกของเข้า-ออก'!$J:$J,'บันทึกของเข้า-ออก'!$B:$B,สรุป!$C59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59" s="9">
        <f>AA59+SUMIFS('บันทึกของเข้า-ออก'!$J:$J,'บันทึกของเข้า-ออก'!$B:$B,สรุป!$C59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59" s="9">
        <f>AB59+SUMIFS('บันทึกของเข้า-ออก'!$J:$J,'บันทึกของเข้า-ออก'!$B:$B,สรุป!$C59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59" s="9">
        <f>AC59+SUMIFS('บันทึกของเข้า-ออก'!$J:$J,'บันทึกของเข้า-ออก'!$B:$B,สรุป!$C59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59" s="9">
        <f>AD59+SUMIFS('บันทึกของเข้า-ออก'!$J:$J,'บันทึกของเข้า-ออก'!$B:$B,สรุป!$C59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59" s="9">
        <f>AE59+SUMIFS('บันทึกของเข้า-ออก'!$J:$J,'บันทึกของเข้า-ออก'!$B:$B,สรุป!$C59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59" s="9">
        <f>AF59+SUMIFS('บันทึกของเข้า-ออก'!$J:$J,'บันทึกของเข้า-ออก'!$B:$B,สรุป!$C59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59" s="9">
        <f>AG59+SUMIFS('บันทึกของเข้า-ออก'!$J:$J,'บันทึกของเข้า-ออก'!$B:$B,สรุป!$C59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59" s="9">
        <f>AH59+SUMIFS('บันทึกของเข้า-ออก'!$J:$J,'บันทึกของเข้า-ออก'!$B:$B,สรุป!$C59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59" s="9">
        <f>AI59+SUMIFS('บันทึกของเข้า-ออก'!$J:$J,'บันทึกของเข้า-ออก'!$B:$B,สรุป!$C59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59" s="9">
        <f>AJ59+SUMIFS('บันทึกของเข้า-ออก'!$J:$J,'บันทึกของเข้า-ออก'!$B:$B,สรุป!$C59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59" s="9">
        <f>AK59+SUMIFS('บันทึกของเข้า-ออก'!$J:$J,'บันทึกของเข้า-ออก'!$B:$B,สรุป!$C59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59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59" s="26"/>
      <c r="T59" s="33"/>
      <c r="U59" s="34"/>
      <c r="V59" s="25" t="str">
        <f t="shared" si="6"/>
        <v>เหล็กกล่อง 4"x4" เศษ 1.00 ม.</v>
      </c>
      <c r="W59" s="79">
        <v>45</v>
      </c>
      <c r="X59" s="35" t="s">
        <v>57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34"/>
    </row>
    <row r="60" spans="2:38" x14ac:dyDescent="0.3">
      <c r="B60" s="43" t="s">
        <v>402</v>
      </c>
      <c r="C60" s="6" t="s">
        <v>38</v>
      </c>
      <c r="D60" s="79">
        <f t="shared" si="4"/>
        <v>99</v>
      </c>
      <c r="E60" s="6" t="s">
        <v>57</v>
      </c>
      <c r="F60" s="9">
        <f>Y60+SUMIFS('บันทึกของเข้า-ออก'!$J:$J,'บันทึกของเข้า-ออก'!$B:$B,สรุป!$C60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0" s="9">
        <f>Z60+SUMIFS('บันทึกของเข้า-ออก'!$J:$J,'บันทึกของเข้า-ออก'!$B:$B,สรุป!$C60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0" s="9">
        <f>AA60+SUMIFS('บันทึกของเข้า-ออก'!$J:$J,'บันทึกของเข้า-ออก'!$B:$B,สรุป!$C60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0" s="9">
        <f>AB60+SUMIFS('บันทึกของเข้า-ออก'!$J:$J,'บันทึกของเข้า-ออก'!$B:$B,สรุป!$C60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0" s="9">
        <f>AC60+SUMIFS('บันทึกของเข้า-ออก'!$J:$J,'บันทึกของเข้า-ออก'!$B:$B,สรุป!$C60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60" s="9">
        <f>AD60+SUMIFS('บันทึกของเข้า-ออก'!$J:$J,'บันทึกของเข้า-ออก'!$B:$B,สรุป!$C60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0" s="9">
        <f>AE60+SUMIFS('บันทึกของเข้า-ออก'!$J:$J,'บันทึกของเข้า-ออก'!$B:$B,สรุป!$C60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0" s="9">
        <f>AF60+SUMIFS('บันทึกของเข้า-ออก'!$J:$J,'บันทึกของเข้า-ออก'!$B:$B,สรุป!$C60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0" s="9">
        <f>AG60+SUMIFS('บันทึกของเข้า-ออก'!$J:$J,'บันทึกของเข้า-ออก'!$B:$B,สรุป!$C60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0" s="9">
        <f>AH60+SUMIFS('บันทึกของเข้า-ออก'!$J:$J,'บันทึกของเข้า-ออก'!$B:$B,สรุป!$C60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O$5,'บันทึกของเข้า-ออก'!$D:$D,"&gt;="&amp;สรุป!$F$2,'บันทึกของเข้า-ออก'!$D:$D,"&lt;="&amp;สรุป!$G$2)</f>
        <v>99</v>
      </c>
      <c r="P60" s="9">
        <f>AI60+SUMIFS('บันทึกของเข้า-ออก'!$J:$J,'บันทึกของเข้า-ออก'!$B:$B,สรุป!$C60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0" s="9">
        <f>AJ60+SUMIFS('บันทึกของเข้า-ออก'!$J:$J,'บันทึกของเข้า-ออก'!$B:$B,สรุป!$C60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0" s="9">
        <f>AK60+SUMIFS('บันทึกของเข้า-ออก'!$J:$J,'บันทึกของเข้า-ออก'!$B:$B,สรุป!$C60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0" s="26"/>
      <c r="T60" s="33"/>
      <c r="U60" s="34"/>
      <c r="V60" s="25" t="str">
        <f t="shared" si="6"/>
        <v>เหล็กกล่อง 4"x4" เศษ 1.50 ม.</v>
      </c>
      <c r="W60" s="79">
        <v>5</v>
      </c>
      <c r="X60" s="35" t="s">
        <v>57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99</v>
      </c>
      <c r="AI60" s="26">
        <v>0</v>
      </c>
      <c r="AJ60" s="26">
        <v>0</v>
      </c>
      <c r="AK60" s="26">
        <v>0</v>
      </c>
      <c r="AL60" s="34"/>
    </row>
    <row r="61" spans="2:38" x14ac:dyDescent="0.3">
      <c r="B61" s="43" t="s">
        <v>402</v>
      </c>
      <c r="C61" s="6" t="s">
        <v>39</v>
      </c>
      <c r="D61" s="79">
        <f t="shared" si="4"/>
        <v>31</v>
      </c>
      <c r="E61" s="6" t="s">
        <v>57</v>
      </c>
      <c r="F61" s="9">
        <f>Y61+SUMIFS('บันทึกของเข้า-ออก'!$J:$J,'บันทึกของเข้า-ออก'!$B:$B,สรุป!$C61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F$5,'บันทึกของเข้า-ออก'!$D:$D,"&gt;="&amp;สรุป!$F$2,'บันทึกของเข้า-ออก'!$D:$D,"&lt;="&amp;สรุป!$G$2)</f>
        <v>7</v>
      </c>
      <c r="G61" s="9">
        <f>Z61+SUMIFS('บันทึกของเข้า-ออก'!$J:$J,'บันทึกของเข้า-ออก'!$B:$B,สรุป!$C61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1" s="9">
        <f>AA61+SUMIFS('บันทึกของเข้า-ออก'!$J:$J,'บันทึกของเข้า-ออก'!$B:$B,สรุป!$C61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1" s="9">
        <f>AB61+SUMIFS('บันทึกของเข้า-ออก'!$J:$J,'บันทึกของเข้า-ออก'!$B:$B,สรุป!$C61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1" s="9">
        <f>AC61+SUMIFS('บันทึกของเข้า-ออก'!$J:$J,'บันทึกของเข้า-ออก'!$B:$B,สรุป!$C61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J$5,'บันทึกของเข้า-ออก'!$D:$D,"&gt;="&amp;สรุป!$F$2,'บันทึกของเข้า-ออก'!$D:$D,"&lt;="&amp;สรุป!$G$2)</f>
        <v>-12</v>
      </c>
      <c r="K61" s="9">
        <f>AD61+SUMIFS('บันทึกของเข้า-ออก'!$J:$J,'บันทึกของเข้า-ออก'!$B:$B,สรุป!$C61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1" s="9">
        <f>AE61+SUMIFS('บันทึกของเข้า-ออก'!$J:$J,'บันทึกของเข้า-ออก'!$B:$B,สรุป!$C61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1" s="9">
        <f>AF61+SUMIFS('บันทึกของเข้า-ออก'!$J:$J,'บันทึกของเข้า-ออก'!$B:$B,สรุป!$C61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M$5,'บันทึกของเข้า-ออก'!$D:$D,"&gt;="&amp;สรุป!$F$2,'บันทึกของเข้า-ออก'!$D:$D,"&lt;="&amp;สรุป!$G$2)</f>
        <v>-7</v>
      </c>
      <c r="N61" s="9">
        <f>AG61+SUMIFS('บันทึกของเข้า-ออก'!$J:$J,'บันทึกของเข้า-ออก'!$B:$B,สรุป!$C61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1" s="9">
        <f>AH61+SUMIFS('บันทึกของเข้า-ออก'!$J:$J,'บันทึกของเข้า-ออก'!$B:$B,สรุป!$C61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O$5,'บันทึกของเข้า-ออก'!$D:$D,"&gt;="&amp;สรุป!$F$2,'บันทึกของเข้า-ออก'!$D:$D,"&lt;="&amp;สรุป!$G$2)</f>
        <v>24</v>
      </c>
      <c r="P61" s="9">
        <f>AI61+SUMIFS('บันทึกของเข้า-ออก'!$J:$J,'บันทึกของเข้า-ออก'!$B:$B,สรุป!$C61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1" s="9">
        <f>AJ61+SUMIFS('บันทึกของเข้า-ออก'!$J:$J,'บันทึกของเข้า-ออก'!$B:$B,สรุป!$C61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1" s="9">
        <f>AK61+SUMIFS('บันทึกของเข้า-ออก'!$J:$J,'บันทึกของเข้า-ออก'!$B:$B,สรุป!$C61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1" s="26"/>
      <c r="T61" s="33"/>
      <c r="U61" s="34"/>
      <c r="V61" s="25" t="str">
        <f t="shared" si="6"/>
        <v>เหล็กกล่อง 4"x4" เศษ 2.00 ม.</v>
      </c>
      <c r="W61" s="79">
        <v>25</v>
      </c>
      <c r="X61" s="35" t="s">
        <v>57</v>
      </c>
      <c r="Y61" s="26">
        <v>0</v>
      </c>
      <c r="Z61" s="26">
        <v>0</v>
      </c>
      <c r="AA61" s="26">
        <v>0</v>
      </c>
      <c r="AB61" s="26">
        <v>0</v>
      </c>
      <c r="AC61" s="26">
        <v>12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  <c r="AI61" s="26">
        <v>0</v>
      </c>
      <c r="AJ61" s="26">
        <v>0</v>
      </c>
      <c r="AK61" s="26">
        <v>0</v>
      </c>
      <c r="AL61" s="34"/>
    </row>
    <row r="62" spans="2:38" x14ac:dyDescent="0.3">
      <c r="B62" s="43" t="s">
        <v>402</v>
      </c>
      <c r="C62" s="6" t="s">
        <v>63</v>
      </c>
      <c r="D62" s="79">
        <f t="shared" si="4"/>
        <v>0</v>
      </c>
      <c r="E62" s="6" t="s">
        <v>57</v>
      </c>
      <c r="F62" s="9">
        <f>Y62+SUMIFS('บันทึกของเข้า-ออก'!$J:$J,'บันทึกของเข้า-ออก'!$B:$B,สรุป!$C62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2" s="9">
        <f>Z62+SUMIFS('บันทึกของเข้า-ออก'!$J:$J,'บันทึกของเข้า-ออก'!$B:$B,สรุป!$C62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2" s="9">
        <f>AA62+SUMIFS('บันทึกของเข้า-ออก'!$J:$J,'บันทึกของเข้า-ออก'!$B:$B,สรุป!$C62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2" s="9">
        <f>AB62+SUMIFS('บันทึกของเข้า-ออก'!$J:$J,'บันทึกของเข้า-ออก'!$B:$B,สรุป!$C62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2" s="9">
        <f>AC62+SUMIFS('บันทึกของเข้า-ออก'!$J:$J,'บันทึกของเข้า-ออก'!$B:$B,สรุป!$C62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62" s="9">
        <f>AD62+SUMIFS('บันทึกของเข้า-ออก'!$J:$J,'บันทึกของเข้า-ออก'!$B:$B,สรุป!$C62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2" s="9">
        <f>AE62+SUMIFS('บันทึกของเข้า-ออก'!$J:$J,'บันทึกของเข้า-ออก'!$B:$B,สรุป!$C62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2" s="9">
        <f>AF62+SUMIFS('บันทึกของเข้า-ออก'!$J:$J,'บันทึกของเข้า-ออก'!$B:$B,สรุป!$C62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2" s="9">
        <f>AG62+SUMIFS('บันทึกของเข้า-ออก'!$J:$J,'บันทึกของเข้า-ออก'!$B:$B,สรุป!$C62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2" s="9">
        <f>AH62+SUMIFS('บันทึกของเข้า-ออก'!$J:$J,'บันทึกของเข้า-ออก'!$B:$B,สรุป!$C62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62" s="9">
        <f>AI62+SUMIFS('บันทึกของเข้า-ออก'!$J:$J,'บันทึกของเข้า-ออก'!$B:$B,สรุป!$C62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2" s="9">
        <f>AJ62+SUMIFS('บันทึกของเข้า-ออก'!$J:$J,'บันทึกของเข้า-ออก'!$B:$B,สรุป!$C62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2" s="9">
        <f>AK62+SUMIFS('บันทึกของเข้า-ออก'!$J:$J,'บันทึกของเข้า-ออก'!$B:$B,สรุป!$C62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2" s="26"/>
      <c r="T62" s="33"/>
      <c r="U62" s="34"/>
      <c r="V62" s="25" t="str">
        <f t="shared" si="6"/>
        <v>เหล็กกล่อง 4"x4" เศษ 2.50 ม.</v>
      </c>
      <c r="W62" s="79">
        <v>0</v>
      </c>
      <c r="X62" s="35" t="s">
        <v>57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/>
      <c r="AG62" s="26">
        <v>0</v>
      </c>
      <c r="AH62" s="26">
        <v>0</v>
      </c>
      <c r="AI62" s="26">
        <v>0</v>
      </c>
      <c r="AJ62" s="26">
        <v>0</v>
      </c>
      <c r="AK62" s="26">
        <v>0</v>
      </c>
      <c r="AL62" s="34"/>
    </row>
    <row r="63" spans="2:38" x14ac:dyDescent="0.3">
      <c r="B63" s="43" t="s">
        <v>402</v>
      </c>
      <c r="C63" s="6" t="s">
        <v>40</v>
      </c>
      <c r="D63" s="79">
        <f t="shared" si="4"/>
        <v>60</v>
      </c>
      <c r="E63" s="6" t="s">
        <v>57</v>
      </c>
      <c r="F63" s="9">
        <f>Y63+SUMIFS('บันทึกของเข้า-ออก'!$J:$J,'บันทึกของเข้า-ออก'!$B:$B,สรุป!$C63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F$5,'บันทึกของเข้า-ออก'!$D:$D,"&gt;="&amp;สรุป!$F$2,'บันทึกของเข้า-ออก'!$D:$D,"&lt;="&amp;สรุป!$G$2)</f>
        <v>18</v>
      </c>
      <c r="G63" s="9">
        <f>Z63+SUMIFS('บันทึกของเข้า-ออก'!$J:$J,'บันทึกของเข้า-ออก'!$B:$B,สรุป!$C63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3" s="9">
        <f>AA63+SUMIFS('บันทึกของเข้า-ออก'!$J:$J,'บันทึกของเข้า-ออก'!$B:$B,สรุป!$C63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3" s="9">
        <f>AB63+SUMIFS('บันทึกของเข้า-ออก'!$J:$J,'บันทึกของเข้า-ออก'!$B:$B,สรุป!$C63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3" s="9">
        <f>AC63+SUMIFS('บันทึกของเข้า-ออก'!$J:$J,'บันทึกของเข้า-ออก'!$B:$B,สรุป!$C63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J$5,'บันทึกของเข้า-ออก'!$D:$D,"&gt;="&amp;สรุป!$F$2,'บันทึกของเข้า-ออก'!$D:$D,"&lt;="&amp;สรุป!$G$2)</f>
        <v>6</v>
      </c>
      <c r="K63" s="9">
        <f>AD63+SUMIFS('บันทึกของเข้า-ออก'!$J:$J,'บันทึกของเข้า-ออก'!$B:$B,สรุป!$C63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3" s="9">
        <f>AE63+SUMIFS('บันทึกของเข้า-ออก'!$J:$J,'บันทึกของเข้า-ออก'!$B:$B,สรุป!$C63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3" s="9">
        <f>AF63+SUMIFS('บันทึกของเข้า-ออก'!$J:$J,'บันทึกของเข้า-ออก'!$B:$B,สรุป!$C63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M$5,'บันทึกของเข้า-ออก'!$D:$D,"&gt;="&amp;สรุป!$F$2,'บันทึกของเข้า-ออก'!$D:$D,"&lt;="&amp;สรุป!$G$2)</f>
        <v>-4</v>
      </c>
      <c r="N63" s="9">
        <f>AG63+SUMIFS('บันทึกของเข้า-ออก'!$J:$J,'บันทึกของเข้า-ออก'!$B:$B,สรุป!$C63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3" s="9">
        <f>AH63+SUMIFS('บันทึกของเข้า-ออก'!$J:$J,'บันทึกของเข้า-ออก'!$B:$B,สรุป!$C63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O$5,'บันทึกของเข้า-ออก'!$D:$D,"&gt;="&amp;สรุป!$F$2,'บันทึกของเข้า-ออก'!$D:$D,"&lt;="&amp;สรุป!$G$2)</f>
        <v>36</v>
      </c>
      <c r="P63" s="9">
        <f>AI63+SUMIFS('บันทึกของเข้า-ออก'!$J:$J,'บันทึกของเข้า-ออก'!$B:$B,สรุป!$C63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3" s="9">
        <f>AJ63+SUMIFS('บันทึกของเข้า-ออก'!$J:$J,'บันทึกของเข้า-ออก'!$B:$B,สรุป!$C63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3" s="9">
        <f>AK63+SUMIFS('บันทึกของเข้า-ออก'!$J:$J,'บันทึกของเข้า-ออก'!$B:$B,สรุป!$C63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3" s="26"/>
      <c r="T63" s="33"/>
      <c r="U63" s="34"/>
      <c r="V63" s="25" t="str">
        <f t="shared" si="6"/>
        <v>เหล็กกล่อง 4"x4" เศษ 3.00 ม.</v>
      </c>
      <c r="W63" s="79">
        <v>60</v>
      </c>
      <c r="X63" s="35" t="s">
        <v>57</v>
      </c>
      <c r="Y63" s="26">
        <v>9</v>
      </c>
      <c r="Z63" s="26">
        <v>0</v>
      </c>
      <c r="AA63" s="26">
        <v>0</v>
      </c>
      <c r="AB63" s="26">
        <v>0</v>
      </c>
      <c r="AC63" s="26">
        <v>6</v>
      </c>
      <c r="AD63" s="26">
        <v>0</v>
      </c>
      <c r="AE63" s="26">
        <v>0</v>
      </c>
      <c r="AF63" s="26">
        <v>14</v>
      </c>
      <c r="AG63" s="26">
        <v>9</v>
      </c>
      <c r="AH63" s="26">
        <v>18</v>
      </c>
      <c r="AI63" s="26">
        <v>0</v>
      </c>
      <c r="AJ63" s="26">
        <v>0</v>
      </c>
      <c r="AK63" s="26">
        <v>0</v>
      </c>
      <c r="AL63" s="34"/>
    </row>
    <row r="64" spans="2:38" x14ac:dyDescent="0.3">
      <c r="B64" s="43" t="s">
        <v>402</v>
      </c>
      <c r="C64" s="6" t="s">
        <v>109</v>
      </c>
      <c r="D64" s="79">
        <f t="shared" si="4"/>
        <v>45</v>
      </c>
      <c r="E64" s="6" t="s">
        <v>57</v>
      </c>
      <c r="F64" s="9">
        <f>Y64+SUMIFS('บันทึกของเข้า-ออก'!$J:$J,'บันทึกของเข้า-ออก'!$B:$B,สรุป!$C64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4" s="9">
        <f>Z64+SUMIFS('บันทึกของเข้า-ออก'!$J:$J,'บันทึกของเข้า-ออก'!$B:$B,สรุป!$C64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4" s="9">
        <f>AA64+SUMIFS('บันทึกของเข้า-ออก'!$J:$J,'บันทึกของเข้า-ออก'!$B:$B,สรุป!$C64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4" s="9">
        <f>AB64+SUMIFS('บันทึกของเข้า-ออก'!$J:$J,'บันทึกของเข้า-ออก'!$B:$B,สรุป!$C64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4" s="57">
        <f>AC64+SUMIFS('บันทึกของเข้า-ออก'!$J:$J,'บันทึกของเข้า-ออก'!$B:$B,สรุป!$C64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64" s="9">
        <f>AD64+SUMIFS('บันทึกของเข้า-ออก'!$J:$J,'บันทึกของเข้า-ออก'!$B:$B,สรุป!$C64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4" s="9">
        <f>AE64+SUMIFS('บันทึกของเข้า-ออก'!$J:$J,'บันทึกของเข้า-ออก'!$B:$B,สรุป!$C64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4" s="9">
        <f>AF64+SUMIFS('บันทึกของเข้า-ออก'!$J:$J,'บันทึกของเข้า-ออก'!$B:$B,สรุป!$C64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M$5,'บันทึกของเข้า-ออก'!$D:$D,"&gt;="&amp;สรุป!$F$2,'บันทึกของเข้า-ออก'!$D:$D,"&lt;="&amp;สรุป!$G$2)</f>
        <v>31</v>
      </c>
      <c r="N64" s="9">
        <f>AG64+SUMIFS('บันทึกของเข้า-ออก'!$J:$J,'บันทึกของเข้า-ออก'!$B:$B,สรุป!$C64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4" s="9">
        <f>AH64+SUMIFS('บันทึกของเข้า-ออก'!$J:$J,'บันทึกของเข้า-ออก'!$B:$B,สรุป!$C64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O$5,'บันทึกของเข้า-ออก'!$D:$D,"&gt;="&amp;สรุป!$F$2,'บันทึกของเข้า-ออก'!$D:$D,"&lt;="&amp;สรุป!$G$2)</f>
        <v>14</v>
      </c>
      <c r="P64" s="9">
        <f>AI64+SUMIFS('บันทึกของเข้า-ออก'!$J:$J,'บันทึกของเข้า-ออก'!$B:$B,สรุป!$C64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4" s="9">
        <f>AJ64+SUMIFS('บันทึกของเข้า-ออก'!$J:$J,'บันทึกของเข้า-ออก'!$B:$B,สรุป!$C64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4" s="9">
        <f>AK64+SUMIFS('บันทึกของเข้า-ออก'!$J:$J,'บันทึกของเข้า-ออก'!$B:$B,สรุป!$C64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4" s="26"/>
      <c r="T64" s="33"/>
      <c r="U64" s="34"/>
      <c r="V64" s="25" t="str">
        <f t="shared" si="6"/>
        <v>เหล็กกล่อง 4"x4"เศษ 4 ม.</v>
      </c>
      <c r="W64" s="79">
        <v>12</v>
      </c>
      <c r="X64" s="35" t="s">
        <v>57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45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34"/>
    </row>
    <row r="65" spans="2:38" x14ac:dyDescent="0.3">
      <c r="B65" s="43" t="s">
        <v>128</v>
      </c>
      <c r="C65" s="6" t="s">
        <v>403</v>
      </c>
      <c r="D65" s="79">
        <f t="shared" si="4"/>
        <v>3</v>
      </c>
      <c r="E65" s="6" t="s">
        <v>57</v>
      </c>
      <c r="F65" s="9">
        <f>Y65+SUMIFS('บันทึกของเข้า-ออก'!$J:$J,'บันทึกของเข้า-ออก'!$B:$B,สรุป!$C65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5" s="9">
        <f>Z65+SUMIFS('บันทึกของเข้า-ออก'!$J:$J,'บันทึกของเข้า-ออก'!$B:$B,สรุป!$C65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5" s="9">
        <f>AA65+SUMIFS('บันทึกของเข้า-ออก'!$J:$J,'บันทึกของเข้า-ออก'!$B:$B,สรุป!$C65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5" s="9">
        <f>AB65+SUMIFS('บันทึกของเข้า-ออก'!$J:$J,'บันทึกของเข้า-ออก'!$B:$B,สรุป!$C65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5" s="9">
        <v>3</v>
      </c>
      <c r="K65" s="9">
        <f>AD65+SUMIFS('บันทึกของเข้า-ออก'!$J:$J,'บันทึกของเข้า-ออก'!$B:$B,สรุป!$C65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5" s="9">
        <f>AE65+SUMIFS('บันทึกของเข้า-ออก'!$J:$J,'บันทึกของเข้า-ออก'!$B:$B,สรุป!$C65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5" s="9">
        <f>AF65+SUMIFS('บันทึกของเข้า-ออก'!$J:$J,'บันทึกของเข้า-ออก'!$B:$B,สรุป!$C65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5" s="9">
        <f>AG65+SUMIFS('บันทึกของเข้า-ออก'!$J:$J,'บันทึกของเข้า-ออก'!$B:$B,สรุป!$C65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5" s="9">
        <f>AH65+SUMIFS('บันทึกของเข้า-ออก'!$J:$J,'บันทึกของเข้า-ออก'!$B:$B,สรุป!$C65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65" s="9">
        <f>AI65+SUMIFS('บันทึกของเข้า-ออก'!$J:$J,'บันทึกของเข้า-ออก'!$B:$B,สรุป!$C65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5" s="9">
        <f>AJ65+SUMIFS('บันทึกของเข้า-ออก'!$J:$J,'บันทึกของเข้า-ออก'!$B:$B,สรุป!$C65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5" s="9">
        <f>AK65+SUMIFS('บันทึกของเข้า-ออก'!$J:$J,'บันทึกของเข้า-ออก'!$B:$B,สรุป!$C65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5" s="26" t="s">
        <v>404</v>
      </c>
      <c r="T65" s="33"/>
      <c r="U65" s="34"/>
      <c r="V65" s="6" t="s">
        <v>309</v>
      </c>
      <c r="W65" s="79">
        <v>1</v>
      </c>
      <c r="X65" s="35" t="s">
        <v>57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34"/>
    </row>
    <row r="66" spans="2:38" x14ac:dyDescent="0.3">
      <c r="B66" s="43" t="s">
        <v>128</v>
      </c>
      <c r="C66" s="6" t="s">
        <v>322</v>
      </c>
      <c r="D66" s="79">
        <f t="shared" si="4"/>
        <v>0</v>
      </c>
      <c r="E66" s="6" t="s">
        <v>57</v>
      </c>
      <c r="F66" s="9">
        <f>Y66+SUMIFS('บันทึกของเข้า-ออก'!$J:$J,'บันทึกของเข้า-ออก'!$B:$B,สรุป!$C66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6" s="9">
        <f>Z66+SUMIFS('บันทึกของเข้า-ออก'!$J:$J,'บันทึกของเข้า-ออก'!$B:$B,สรุป!$C66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6" s="9">
        <f>AA66+SUMIFS('บันทึกของเข้า-ออก'!$J:$J,'บันทึกของเข้า-ออก'!$B:$B,สรุป!$C66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6" s="9">
        <f>AB66+SUMIFS('บันทึกของเข้า-ออก'!$J:$J,'บันทึกของเข้า-ออก'!$B:$B,สรุป!$C66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6" s="9">
        <f>AC66+SUMIFS('บันทึกของเข้า-ออก'!$J:$J,'บันทึกของเข้า-ออก'!$B:$B,สรุป!$C66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66" s="9">
        <f>AD66+SUMIFS('บันทึกของเข้า-ออก'!$J:$J,'บันทึกของเข้า-ออก'!$B:$B,สรุป!$C66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6" s="9">
        <f>AE66+SUMIFS('บันทึกของเข้า-ออก'!$J:$J,'บันทึกของเข้า-ออก'!$B:$B,สรุป!$C66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6" s="9">
        <f>AF66+SUMIFS('บันทึกของเข้า-ออก'!$J:$J,'บันทึกของเข้า-ออก'!$B:$B,สรุป!$C66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6" s="9">
        <f>AG66+SUMIFS('บันทึกของเข้า-ออก'!$J:$J,'บันทึกของเข้า-ออก'!$B:$B,สรุป!$C66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6" s="9">
        <f>AH66+SUMIFS('บันทึกของเข้า-ออก'!$J:$J,'บันทึกของเข้า-ออก'!$B:$B,สรุป!$C66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66" s="9">
        <f>AI66+SUMIFS('บันทึกของเข้า-ออก'!$J:$J,'บันทึกของเข้า-ออก'!$B:$B,สรุป!$C66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6" s="9">
        <f>AJ66+SUMIFS('บันทึกของเข้า-ออก'!$J:$J,'บันทึกของเข้า-ออก'!$B:$B,สรุป!$C66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6" s="9">
        <f>AK66+SUMIFS('บันทึกของเข้า-ออก'!$J:$J,'บันทึกของเข้า-ออก'!$B:$B,สรุป!$C66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6" s="26"/>
      <c r="T66" s="33"/>
      <c r="U66" s="34"/>
      <c r="V66" s="6" t="s">
        <v>322</v>
      </c>
      <c r="W66" s="79"/>
      <c r="X66" s="35" t="s">
        <v>57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6">
        <v>0</v>
      </c>
      <c r="AJ66" s="26">
        <v>0</v>
      </c>
      <c r="AK66" s="26">
        <v>0</v>
      </c>
      <c r="AL66" s="34"/>
    </row>
    <row r="67" spans="2:38" x14ac:dyDescent="0.3">
      <c r="B67" s="43" t="s">
        <v>128</v>
      </c>
      <c r="C67" s="6" t="s">
        <v>302</v>
      </c>
      <c r="D67" s="79">
        <f t="shared" si="4"/>
        <v>0</v>
      </c>
      <c r="E67" s="6" t="s">
        <v>57</v>
      </c>
      <c r="F67" s="9">
        <f>Y67+SUMIFS('บันทึกของเข้า-ออก'!$J:$J,'บันทึกของเข้า-ออก'!$B:$B,สรุป!$C67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7" s="9">
        <f>Z67+SUMIFS('บันทึกของเข้า-ออก'!$J:$J,'บันทึกของเข้า-ออก'!$B:$B,สรุป!$C67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7" s="9">
        <f>AA67+SUMIFS('บันทึกของเข้า-ออก'!$J:$J,'บันทึกของเข้า-ออก'!$B:$B,สรุป!$C67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7" s="9">
        <f>AB67+SUMIFS('บันทึกของเข้า-ออก'!$J:$J,'บันทึกของเข้า-ออก'!$B:$B,สรุป!$C67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7" s="9">
        <f>AC67+SUMIFS('บันทึกของเข้า-ออก'!$J:$J,'บันทึกของเข้า-ออก'!$B:$B,สรุป!$C67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67" s="9">
        <f>AD67+SUMIFS('บันทึกของเข้า-ออก'!$J:$J,'บันทึกของเข้า-ออก'!$B:$B,สรุป!$C67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7" s="9">
        <f>AE67+SUMIFS('บันทึกของเข้า-ออก'!$J:$J,'บันทึกของเข้า-ออก'!$B:$B,สรุป!$C67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7" s="9">
        <f>AF67+SUMIFS('บันทึกของเข้า-ออก'!$J:$J,'บันทึกของเข้า-ออก'!$B:$B,สรุป!$C67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7" s="9">
        <f>AG67+SUMIFS('บันทึกของเข้า-ออก'!$J:$J,'บันทึกของเข้า-ออก'!$B:$B,สรุป!$C67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7" s="9">
        <f>AH67+SUMIFS('บันทึกของเข้า-ออก'!$J:$J,'บันทึกของเข้า-ออก'!$B:$B,สรุป!$C67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67" s="9">
        <f>AI67+SUMIFS('บันทึกของเข้า-ออก'!$J:$J,'บันทึกของเข้า-ออก'!$B:$B,สรุป!$C67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7" s="9">
        <f>AJ67+SUMIFS('บันทึกของเข้า-ออก'!$J:$J,'บันทึกของเข้า-ออก'!$B:$B,สรุป!$C67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7" s="9">
        <f>AK67+SUMIFS('บันทึกของเข้า-ออก'!$J:$J,'บันทึกของเข้า-ออก'!$B:$B,สรุป!$C67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7" s="26"/>
      <c r="T67" s="33"/>
      <c r="U67" s="34"/>
      <c r="V67" s="6" t="s">
        <v>302</v>
      </c>
      <c r="W67" s="79">
        <v>2</v>
      </c>
      <c r="X67" s="35" t="s">
        <v>57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34"/>
    </row>
    <row r="68" spans="2:38" x14ac:dyDescent="0.3">
      <c r="B68" s="43" t="s">
        <v>128</v>
      </c>
      <c r="C68" s="6" t="s">
        <v>196</v>
      </c>
      <c r="D68" s="79">
        <f t="shared" si="4"/>
        <v>0</v>
      </c>
      <c r="E68" s="6" t="s">
        <v>57</v>
      </c>
      <c r="F68" s="9">
        <f>Y68+SUMIFS('บันทึกของเข้า-ออก'!$J:$J,'บันทึกของเข้า-ออก'!$B:$B,สรุป!$C68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68" s="9">
        <f>Z68+SUMIFS('บันทึกของเข้า-ออก'!$J:$J,'บันทึกของเข้า-ออก'!$B:$B,สรุป!$C68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8" s="9">
        <f>AA68+SUMIFS('บันทึกของเข้า-ออก'!$J:$J,'บันทึกของเข้า-ออก'!$B:$B,สรุป!$C68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8" s="9">
        <f>AB68+SUMIFS('บันทึกของเข้า-ออก'!$J:$J,'บันทึกของเข้า-ออก'!$B:$B,สรุป!$C68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8" s="9">
        <f>AC68+SUMIFS('บันทึกของเข้า-ออก'!$J:$J,'บันทึกของเข้า-ออก'!$B:$B,สรุป!$C68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68" s="9">
        <f>AD68+SUMIFS('บันทึกของเข้า-ออก'!$J:$J,'บันทึกของเข้า-ออก'!$B:$B,สรุป!$C68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8" s="9">
        <f>AE68+SUMIFS('บันทึกของเข้า-ออก'!$J:$J,'บันทึกของเข้า-ออก'!$B:$B,สรุป!$C68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8" s="9">
        <f>AF68+SUMIFS('บันทึกของเข้า-ออก'!$J:$J,'บันทึกของเข้า-ออก'!$B:$B,สรุป!$C68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68" s="9">
        <f>AG68+SUMIFS('บันทึกของเข้า-ออก'!$J:$J,'บันทึกของเข้า-ออก'!$B:$B,สรุป!$C68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8" s="9">
        <f>AH68+SUMIFS('บันทึกของเข้า-ออก'!$J:$J,'บันทึกของเข้า-ออก'!$B:$B,สรุป!$C68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68" s="9">
        <f>AI68+SUMIFS('บันทึกของเข้า-ออก'!$J:$J,'บันทึกของเข้า-ออก'!$B:$B,สรุป!$C68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8" s="9">
        <f>AJ68+SUMIFS('บันทึกของเข้า-ออก'!$J:$J,'บันทึกของเข้า-ออก'!$B:$B,สรุป!$C68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8" s="9">
        <f>AK68+SUMIFS('บันทึกของเข้า-ออก'!$J:$J,'บันทึกของเข้า-ออก'!$B:$B,สรุป!$C68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8" s="26"/>
      <c r="T68" s="33"/>
      <c r="U68" s="34"/>
      <c r="V68" s="25" t="str">
        <f t="shared" ref="V68:V73" si="7">C68</f>
        <v>เหล็กฉาก 2*2 ยาว 3 ม.</v>
      </c>
      <c r="W68" s="79">
        <v>27</v>
      </c>
      <c r="X68" s="35" t="s">
        <v>57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34"/>
    </row>
    <row r="69" spans="2:38" x14ac:dyDescent="0.3">
      <c r="B69" s="43" t="s">
        <v>128</v>
      </c>
      <c r="C69" s="6" t="s">
        <v>121</v>
      </c>
      <c r="D69" s="79">
        <f t="shared" si="4"/>
        <v>12</v>
      </c>
      <c r="E69" s="6" t="s">
        <v>57</v>
      </c>
      <c r="F69" s="9">
        <f>Y69+SUMIFS('บันทึกของเข้า-ออก'!$J:$J,'บันทึกของเข้า-ออก'!$B:$B,สรุป!$C69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F$5,'บันทึกของเข้า-ออก'!$D:$D,"&gt;="&amp;สรุป!$F$2,'บันทึกของเข้า-ออก'!$D:$D,"&lt;="&amp;สรุป!$G$2)</f>
        <v>6</v>
      </c>
      <c r="G69" s="9">
        <f>Z69+SUMIFS('บันทึกของเข้า-ออก'!$J:$J,'บันทึกของเข้า-ออก'!$B:$B,สรุป!$C69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69" s="9">
        <f>AA69+SUMIFS('บันทึกของเข้า-ออก'!$J:$J,'บันทึกของเข้า-ออก'!$B:$B,สรุป!$C69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69" s="9">
        <f>AB69+SUMIFS('บันทึกของเข้า-ออก'!$J:$J,'บันทึกของเข้า-ออก'!$B:$B,สรุป!$C69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69" s="9">
        <f>AC69+SUMIFS('บันทึกของเข้า-ออก'!$J:$J,'บันทึกของเข้า-ออก'!$B:$B,สรุป!$C69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J$5,'บันทึกของเข้า-ออก'!$D:$D,"&gt;="&amp;สรุป!$F$2,'บันทึกของเข้า-ออก'!$D:$D,"&lt;="&amp;สรุป!$G$2)</f>
        <v>-6</v>
      </c>
      <c r="K69" s="9">
        <f>AD69+SUMIFS('บันทึกของเข้า-ออก'!$J:$J,'บันทึกของเข้า-ออก'!$B:$B,สรุป!$C69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69" s="9">
        <f>AE69+SUMIFS('บันทึกของเข้า-ออก'!$J:$J,'บันทึกของเข้า-ออก'!$B:$B,สรุป!$C69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69" s="9">
        <f>AF69+SUMIFS('บันทึกของเข้า-ออก'!$J:$J,'บันทึกของเข้า-ออก'!$B:$B,สรุป!$C69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M$5,'บันทึกของเข้า-ออก'!$D:$D,"&gt;="&amp;สรุป!$F$2,'บันทึกของเข้า-ออก'!$D:$D,"&lt;="&amp;สรุป!$G$2)</f>
        <v>-6</v>
      </c>
      <c r="N69" s="9">
        <f>AG69+SUMIFS('บันทึกของเข้า-ออก'!$J:$J,'บันทึกของเข้า-ออก'!$B:$B,สรุป!$C69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69" s="9">
        <f>AH69+SUMIFS('บันทึกของเข้า-ออก'!$J:$J,'บันทึกของเข้า-ออก'!$B:$B,สรุป!$C69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O$5,'บันทึกของเข้า-ออก'!$D:$D,"&gt;="&amp;สรุป!$F$2,'บันทึกของเข้า-ออก'!$D:$D,"&lt;="&amp;สรุป!$G$2)</f>
        <v>6</v>
      </c>
      <c r="P69" s="9">
        <f>AI69+SUMIFS('บันทึกของเข้า-ออก'!$J:$J,'บันทึกของเข้า-ออก'!$B:$B,สรุป!$C69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69" s="9">
        <f>AJ69+SUMIFS('บันทึกของเข้า-ออก'!$J:$J,'บันทึกของเข้า-ออก'!$B:$B,สรุป!$C69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69" s="9">
        <f>AK69+SUMIFS('บันทึกของเข้า-ออก'!$J:$J,'บันทึกของเข้า-ออก'!$B:$B,สรุป!$C69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69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69" s="26"/>
      <c r="T69" s="33"/>
      <c r="U69" s="34"/>
      <c r="V69" s="25" t="str">
        <f t="shared" si="7"/>
        <v>เหล็กฉาก 2*2 ยาว 6 ม.</v>
      </c>
      <c r="W69" s="79">
        <v>0</v>
      </c>
      <c r="X69" s="35" t="s">
        <v>57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34"/>
    </row>
    <row r="70" spans="2:38" x14ac:dyDescent="0.3">
      <c r="B70" s="43" t="s">
        <v>128</v>
      </c>
      <c r="C70" s="6" t="s">
        <v>64</v>
      </c>
      <c r="D70" s="79">
        <f t="shared" si="4"/>
        <v>0</v>
      </c>
      <c r="E70" s="6" t="s">
        <v>57</v>
      </c>
      <c r="F70" s="9">
        <f>Y70+SUMIFS('บันทึกของเข้า-ออก'!$J:$J,'บันทึกของเข้า-ออก'!$B:$B,สรุป!$C70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0" s="9">
        <f>Z70+SUMIFS('บันทึกของเข้า-ออก'!$J:$J,'บันทึกของเข้า-ออก'!$B:$B,สรุป!$C70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0" s="9">
        <f>AA70+SUMIFS('บันทึกของเข้า-ออก'!$J:$J,'บันทึกของเข้า-ออก'!$B:$B,สรุป!$C70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0" s="9">
        <f>AB70+SUMIFS('บันทึกของเข้า-ออก'!$J:$J,'บันทึกของเข้า-ออก'!$B:$B,สรุป!$C70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0" s="9">
        <f>AC70+SUMIFS('บันทึกของเข้า-ออก'!$J:$J,'บันทึกของเข้า-ออก'!$B:$B,สรุป!$C70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0" s="9">
        <f>AD70+SUMIFS('บันทึกของเข้า-ออก'!$J:$J,'บันทึกของเข้า-ออก'!$B:$B,สรุป!$C70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0" s="9">
        <f>AE70+SUMIFS('บันทึกของเข้า-ออก'!$J:$J,'บันทึกของเข้า-ออก'!$B:$B,สรุป!$C70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0" s="9">
        <f>AF70+SUMIFS('บันทึกของเข้า-ออก'!$J:$J,'บันทึกของเข้า-ออก'!$B:$B,สรุป!$C70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0" s="9">
        <f>AG70+SUMIFS('บันทึกของเข้า-ออก'!$J:$J,'บันทึกของเข้า-ออก'!$B:$B,สรุป!$C70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0" s="9">
        <f>AH70+SUMIFS('บันทึกของเข้า-ออก'!$J:$J,'บันทึกของเข้า-ออก'!$B:$B,สรุป!$C70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0" s="9">
        <f>AI70+SUMIFS('บันทึกของเข้า-ออก'!$J:$J,'บันทึกของเข้า-ออก'!$B:$B,สรุป!$C70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0" s="9">
        <f>AJ70+SUMIFS('บันทึกของเข้า-ออก'!$J:$J,'บันทึกของเข้า-ออก'!$B:$B,สรุป!$C70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0" s="9">
        <f>AK70+SUMIFS('บันทึกของเข้า-ออก'!$J:$J,'บันทึกของเข้า-ออก'!$B:$B,สรุป!$C70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0" s="26"/>
      <c r="T70" s="33"/>
      <c r="U70" s="34"/>
      <c r="V70" s="25" t="str">
        <f t="shared" si="7"/>
        <v>ฉาก 1*1*6.00</v>
      </c>
      <c r="W70" s="79">
        <v>23</v>
      </c>
      <c r="X70" s="35" t="s">
        <v>57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  <c r="AI70" s="26">
        <v>0</v>
      </c>
      <c r="AJ70" s="26">
        <v>0</v>
      </c>
      <c r="AK70" s="26">
        <v>0</v>
      </c>
      <c r="AL70" s="34"/>
    </row>
    <row r="71" spans="2:38" x14ac:dyDescent="0.3">
      <c r="B71" s="43" t="s">
        <v>128</v>
      </c>
      <c r="C71" s="6" t="s">
        <v>166</v>
      </c>
      <c r="D71" s="79">
        <f t="shared" si="4"/>
        <v>1</v>
      </c>
      <c r="E71" s="6" t="s">
        <v>59</v>
      </c>
      <c r="F71" s="9">
        <f>Y71+SUMIFS('บันทึกของเข้า-ออก'!$J:$J,'บันทึกของเข้า-ออก'!$B:$B,สรุป!$C71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1" s="9">
        <f>Z71+SUMIFS('บันทึกของเข้า-ออก'!$J:$J,'บันทึกของเข้า-ออก'!$B:$B,สรุป!$C71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1" s="9">
        <f>AA71+SUMIFS('บันทึกของเข้า-ออก'!$J:$J,'บันทึกของเข้า-ออก'!$B:$B,สรุป!$C71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71" s="9">
        <f>AB71+SUMIFS('บันทึกของเข้า-ออก'!$J:$J,'บันทึกของเข้า-ออก'!$B:$B,สรุป!$C71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1" s="9">
        <f>AC71+SUMIFS('บันทึกของเข้า-ออก'!$J:$J,'บันทึกของเข้า-ออก'!$B:$B,สรุป!$C71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1" s="9">
        <f>AD71+SUMIFS('บันทึกของเข้า-ออก'!$J:$J,'บันทึกของเข้า-ออก'!$B:$B,สรุป!$C71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1" s="9">
        <f>AE71+SUMIFS('บันทึกของเข้า-ออก'!$J:$J,'บันทึกของเข้า-ออก'!$B:$B,สรุป!$C71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1" s="9">
        <f>AF71+SUMIFS('บันทึกของเข้า-ออก'!$J:$J,'บันทึกของเข้า-ออก'!$B:$B,สรุป!$C71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1" s="9">
        <f>AG71+SUMIFS('บันทึกของเข้า-ออก'!$J:$J,'บันทึกของเข้า-ออก'!$B:$B,สรุป!$C71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1" s="9">
        <f>AH71+SUMIFS('บันทึกของเข้า-ออก'!$J:$J,'บันทึกของเข้า-ออก'!$B:$B,สรุป!$C71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1" s="9">
        <f>AI71+SUMIFS('บันทึกของเข้า-ออก'!$J:$J,'บันทึกของเข้า-ออก'!$B:$B,สรุป!$C71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1" s="9">
        <f>AJ71+SUMIFS('บันทึกของเข้า-ออก'!$J:$J,'บันทึกของเข้า-ออก'!$B:$B,สรุป!$C71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1" s="9">
        <f>AK71+SUMIFS('บันทึกของเข้า-ออก'!$J:$J,'บันทึกของเข้า-ออก'!$B:$B,สรุป!$C71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1" s="26"/>
      <c r="T71" s="33"/>
      <c r="U71" s="34"/>
      <c r="V71" s="25" t="str">
        <f t="shared" si="7"/>
        <v>แผ่นเหล็กป้ำลาย</v>
      </c>
      <c r="W71" s="79">
        <v>1</v>
      </c>
      <c r="X71" s="35" t="s">
        <v>59</v>
      </c>
      <c r="Y71" s="26">
        <v>0</v>
      </c>
      <c r="Z71" s="26">
        <v>0</v>
      </c>
      <c r="AA71" s="26">
        <v>1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  <c r="AK71" s="26">
        <v>0</v>
      </c>
      <c r="AL71" s="34"/>
    </row>
    <row r="72" spans="2:38" x14ac:dyDescent="0.3">
      <c r="B72" s="43" t="s">
        <v>102</v>
      </c>
      <c r="C72" s="6" t="s">
        <v>155</v>
      </c>
      <c r="D72" s="79">
        <f t="shared" si="4"/>
        <v>26</v>
      </c>
      <c r="E72" s="6" t="s">
        <v>59</v>
      </c>
      <c r="F72" s="9">
        <f>Y72+SUMIFS('บันทึกของเข้า-ออก'!$J:$J,'บันทึกของเข้า-ออก'!$B:$B,สรุป!$C72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2" s="9">
        <f>Z72+SUMIFS('บันทึกของเข้า-ออก'!$J:$J,'บันทึกของเข้า-ออก'!$B:$B,สรุป!$C72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2" s="9">
        <f>AA72+SUMIFS('บันทึกของเข้า-ออก'!$J:$J,'บันทึกของเข้า-ออก'!$B:$B,สรุป!$C72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2" s="9">
        <f>AB72+SUMIFS('บันทึกของเข้า-ออก'!$J:$J,'บันทึกของเข้า-ออก'!$B:$B,สรุป!$C72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I$5,'บันทึกของเข้า-ออก'!$D:$D,"&gt;="&amp;สรุป!$F$2,'บันทึกของเข้า-ออก'!$D:$D,"&lt;="&amp;สรุป!$G$2)</f>
        <v>26</v>
      </c>
      <c r="J72" s="9">
        <f>AC72+SUMIFS('บันทึกของเข้า-ออก'!$J:$J,'บันทึกของเข้า-ออก'!$B:$B,สรุป!$C72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2" s="9">
        <f>AD72+SUMIFS('บันทึกของเข้า-ออก'!$J:$J,'บันทึกของเข้า-ออก'!$B:$B,สรุป!$C72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2" s="9">
        <f>AE72+SUMIFS('บันทึกของเข้า-ออก'!$J:$J,'บันทึกของเข้า-ออก'!$B:$B,สรุป!$C72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2" s="9">
        <f>AF72+SUMIFS('บันทึกของเข้า-ออก'!$J:$J,'บันทึกของเข้า-ออก'!$B:$B,สรุป!$C72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2" s="9">
        <f>AG72+SUMIFS('บันทึกของเข้า-ออก'!$J:$J,'บันทึกของเข้า-ออก'!$B:$B,สรุป!$C72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2" s="9">
        <f>AH72+SUMIFS('บันทึกของเข้า-ออก'!$J:$J,'บันทึกของเข้า-ออก'!$B:$B,สรุป!$C72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2" s="9">
        <f>AI72+SUMIFS('บันทึกของเข้า-ออก'!$J:$J,'บันทึกของเข้า-ออก'!$B:$B,สรุป!$C72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2" s="9">
        <f>AJ72+SUMIFS('บันทึกของเข้า-ออก'!$J:$J,'บันทึกของเข้า-ออก'!$B:$B,สรุป!$C72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2" s="9">
        <f>AK72+SUMIFS('บันทึกของเข้า-ออก'!$J:$J,'บันทึกของเข้า-ออก'!$B:$B,สรุป!$C72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2" s="26"/>
      <c r="T72" s="33"/>
      <c r="U72" s="34"/>
      <c r="V72" s="25" t="str">
        <f t="shared" si="7"/>
        <v>แผ่นเมทัลชีส 0.80ยาว 2.10 ม</v>
      </c>
      <c r="W72" s="82">
        <v>76</v>
      </c>
      <c r="X72" s="35" t="s">
        <v>59</v>
      </c>
      <c r="Y72" s="26">
        <v>0</v>
      </c>
      <c r="Z72" s="26">
        <v>0</v>
      </c>
      <c r="AA72" s="26">
        <v>0</v>
      </c>
      <c r="AB72" s="26">
        <v>26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34"/>
    </row>
    <row r="73" spans="2:38" x14ac:dyDescent="0.3">
      <c r="B73" s="43" t="s">
        <v>102</v>
      </c>
      <c r="C73" s="6" t="s">
        <v>296</v>
      </c>
      <c r="D73" s="79">
        <f t="shared" si="4"/>
        <v>0</v>
      </c>
      <c r="E73" s="6" t="s">
        <v>59</v>
      </c>
      <c r="F73" s="9">
        <f>Y73+SUMIFS('บันทึกของเข้า-ออก'!$J:$J,'บันทึกของเข้า-ออก'!$B:$B,สรุป!$C73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3" s="9">
        <f>Z73+SUMIFS('บันทึกของเข้า-ออก'!$J:$J,'บันทึกของเข้า-ออก'!$B:$B,สรุป!$C73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3" s="9">
        <f>AA73+SUMIFS('บันทึกของเข้า-ออก'!$J:$J,'บันทึกของเข้า-ออก'!$B:$B,สรุป!$C73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3" s="9">
        <f>AB73+SUMIFS('บันทึกของเข้า-ออก'!$J:$J,'บันทึกของเข้า-ออก'!$B:$B,สรุป!$C73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3" s="9">
        <f>AC73+SUMIFS('บันทึกของเข้า-ออก'!$J:$J,'บันทึกของเข้า-ออก'!$B:$B,สรุป!$C73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3" s="9">
        <f>AD73+SUMIFS('บันทึกของเข้า-ออก'!$J:$J,'บันทึกของเข้า-ออก'!$B:$B,สรุป!$C73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3" s="9">
        <f>AE73+SUMIFS('บันทึกของเข้า-ออก'!$J:$J,'บันทึกของเข้า-ออก'!$B:$B,สรุป!$C73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3" s="9">
        <f>AF73+SUMIFS('บันทึกของเข้า-ออก'!$J:$J,'บันทึกของเข้า-ออก'!$B:$B,สรุป!$C73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3" s="9">
        <f>AG73+SUMIFS('บันทึกของเข้า-ออก'!$J:$J,'บันทึกของเข้า-ออก'!$B:$B,สรุป!$C73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3" s="9">
        <f>AH73+SUMIFS('บันทึกของเข้า-ออก'!$J:$J,'บันทึกของเข้า-ออก'!$B:$B,สรุป!$C73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3" s="9">
        <f>AI73+SUMIFS('บันทึกของเข้า-ออก'!$J:$J,'บันทึกของเข้า-ออก'!$B:$B,สรุป!$C73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3" s="9">
        <f>AJ73+SUMIFS('บันทึกของเข้า-ออก'!$J:$J,'บันทึกของเข้า-ออก'!$B:$B,สรุป!$C73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3" s="9">
        <f>AK73+SUMIFS('บันทึกของเข้า-ออก'!$J:$J,'บันทึกของเข้า-ออก'!$B:$B,สรุป!$C73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3" s="26"/>
      <c r="T73" s="33"/>
      <c r="U73" s="34"/>
      <c r="V73" s="25" t="str">
        <f t="shared" si="7"/>
        <v>แผ่นเมทัลชีส ยาว 6 ม</v>
      </c>
      <c r="W73" s="82">
        <v>75</v>
      </c>
      <c r="X73" s="35" t="s">
        <v>59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34"/>
    </row>
    <row r="74" spans="2:38" x14ac:dyDescent="0.3">
      <c r="B74" s="43" t="s">
        <v>102</v>
      </c>
      <c r="C74" s="6" t="s">
        <v>93</v>
      </c>
      <c r="D74" s="79">
        <f t="shared" si="4"/>
        <v>0</v>
      </c>
      <c r="E74" s="6" t="s">
        <v>59</v>
      </c>
      <c r="F74" s="9">
        <f>Y74+SUMIFS('บันทึกของเข้า-ออก'!$J:$J,'บันทึกของเข้า-ออก'!$B:$B,สรุป!$C74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4" s="9">
        <f>Z74+SUMIFS('บันทึกของเข้า-ออก'!$J:$J,'บันทึกของเข้า-ออก'!$B:$B,สรุป!$C74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4" s="9">
        <f>AA74+SUMIFS('บันทึกของเข้า-ออก'!$J:$J,'บันทึกของเข้า-ออก'!$B:$B,สรุป!$C74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4" s="9">
        <f>AB74+SUMIFS('บันทึกของเข้า-ออก'!$J:$J,'บันทึกของเข้า-ออก'!$B:$B,สรุป!$C74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4" s="9">
        <f>AC74+SUMIFS('บันทึกของเข้า-ออก'!$J:$J,'บันทึกของเข้า-ออก'!$B:$B,สรุป!$C74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4" s="9">
        <f>AD74+SUMIFS('บันทึกของเข้า-ออก'!$J:$J,'บันทึกของเข้า-ออก'!$B:$B,สรุป!$C74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4" s="9">
        <f>AE74+SUMIFS('บันทึกของเข้า-ออก'!$J:$J,'บันทึกของเข้า-ออก'!$B:$B,สรุป!$C74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4" s="9">
        <f>AF74+SUMIFS('บันทึกของเข้า-ออก'!$J:$J,'บันทึกของเข้า-ออก'!$B:$B,สรุป!$C74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4" s="9">
        <f>AG74+SUMIFS('บันทึกของเข้า-ออก'!$J:$J,'บันทึกของเข้า-ออก'!$B:$B,สรุป!$C74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4" s="9">
        <f>AH74+SUMIFS('บันทึกของเข้า-ออก'!$J:$J,'บันทึกของเข้า-ออก'!$B:$B,สรุป!$C74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4" s="9">
        <f>AI74+SUMIFS('บันทึกของเข้า-ออก'!$J:$J,'บันทึกของเข้า-ออก'!$B:$B,สรุป!$C74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4" s="9">
        <f>AJ74+SUMIFS('บันทึกของเข้า-ออก'!$J:$J,'บันทึกของเข้า-ออก'!$B:$B,สรุป!$C74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4" s="9">
        <f>AK74+SUMIFS('บันทึกของเข้า-ออก'!$J:$J,'บันทึกของเข้า-ออก'!$B:$B,สรุป!$C74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4" s="26"/>
      <c r="T74" s="33"/>
      <c r="U74" s="34"/>
      <c r="V74" s="6" t="s">
        <v>93</v>
      </c>
      <c r="W74" s="82">
        <v>7</v>
      </c>
      <c r="X74" s="35" t="s">
        <v>59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  <c r="AI74" s="26">
        <v>0</v>
      </c>
      <c r="AJ74" s="26">
        <v>0</v>
      </c>
      <c r="AK74" s="26">
        <v>0</v>
      </c>
      <c r="AL74" s="34"/>
    </row>
    <row r="75" spans="2:38" x14ac:dyDescent="0.3">
      <c r="B75" s="43" t="s">
        <v>102</v>
      </c>
      <c r="C75" s="6" t="s">
        <v>164</v>
      </c>
      <c r="D75" s="79">
        <f t="shared" si="4"/>
        <v>0</v>
      </c>
      <c r="E75" s="6" t="s">
        <v>59</v>
      </c>
      <c r="F75" s="9">
        <f>Y75+SUMIFS('บันทึกของเข้า-ออก'!$J:$J,'บันทึกของเข้า-ออก'!$B:$B,สรุป!$C75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5" s="9">
        <f>Z75+SUMIFS('บันทึกของเข้า-ออก'!$J:$J,'บันทึกของเข้า-ออก'!$B:$B,สรุป!$C75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5" s="9">
        <f>AA75+SUMIFS('บันทึกของเข้า-ออก'!$J:$J,'บันทึกของเข้า-ออก'!$B:$B,สรุป!$C75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5" s="9">
        <f>AB75+SUMIFS('บันทึกของเข้า-ออก'!$J:$J,'บันทึกของเข้า-ออก'!$B:$B,สรุป!$C75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5" s="9">
        <f>AC75+SUMIFS('บันทึกของเข้า-ออก'!$J:$J,'บันทึกของเข้า-ออก'!$B:$B,สรุป!$C75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5" s="9">
        <f>AD75+SUMIFS('บันทึกของเข้า-ออก'!$J:$J,'บันทึกของเข้า-ออก'!$B:$B,สรุป!$C75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5" s="9">
        <f>AE75+SUMIFS('บันทึกของเข้า-ออก'!$J:$J,'บันทึกของเข้า-ออก'!$B:$B,สรุป!$C75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5" s="9">
        <f>AF75+SUMIFS('บันทึกของเข้า-ออก'!$J:$J,'บันทึกของเข้า-ออก'!$B:$B,สรุป!$C75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5" s="9">
        <f>AG75+SUMIFS('บันทึกของเข้า-ออก'!$J:$J,'บันทึกของเข้า-ออก'!$B:$B,สรุป!$C75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5" s="9">
        <f>AH75+SUMIFS('บันทึกของเข้า-ออก'!$J:$J,'บันทึกของเข้า-ออก'!$B:$B,สรุป!$C75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5" s="9">
        <f>AI75+SUMIFS('บันทึกของเข้า-ออก'!$J:$J,'บันทึกของเข้า-ออก'!$B:$B,สรุป!$C75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5" s="9">
        <f>AJ75+SUMIFS('บันทึกของเข้า-ออก'!$J:$J,'บันทึกของเข้า-ออก'!$B:$B,สรุป!$C75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5" s="9">
        <f>AK75+SUMIFS('บันทึกของเข้า-ออก'!$J:$J,'บันทึกของเข้า-ออก'!$B:$B,สรุป!$C75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5" s="26"/>
      <c r="T75" s="33"/>
      <c r="U75" s="34"/>
      <c r="V75" s="25" t="str">
        <f t="shared" ref="V75:V105" si="8">C75</f>
        <v>แผ่นเมทัลชีส ยาว 3 ม</v>
      </c>
      <c r="W75" s="82">
        <v>11</v>
      </c>
      <c r="X75" s="35" t="s">
        <v>59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6">
        <v>0</v>
      </c>
      <c r="AK75" s="26">
        <v>0</v>
      </c>
      <c r="AL75" s="34"/>
    </row>
    <row r="76" spans="2:38" x14ac:dyDescent="0.3">
      <c r="B76" s="43" t="s">
        <v>102</v>
      </c>
      <c r="C76" s="6" t="s">
        <v>91</v>
      </c>
      <c r="D76" s="79">
        <f t="shared" si="4"/>
        <v>0</v>
      </c>
      <c r="E76" s="6" t="s">
        <v>59</v>
      </c>
      <c r="F76" s="9">
        <f>Y76+SUMIFS('บันทึกของเข้า-ออก'!$J:$J,'บันทึกของเข้า-ออก'!$B:$B,สรุป!$C76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6" s="9">
        <f>Z76+SUMIFS('บันทึกของเข้า-ออก'!$J:$J,'บันทึกของเข้า-ออก'!$B:$B,สรุป!$C76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6" s="9">
        <f>AA76+SUMIFS('บันทึกของเข้า-ออก'!$J:$J,'บันทึกของเข้า-ออก'!$B:$B,สรุป!$C76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6" s="9">
        <f>AB76+SUMIFS('บันทึกของเข้า-ออก'!$J:$J,'บันทึกของเข้า-ออก'!$B:$B,สรุป!$C76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6" s="9">
        <f>AC76+SUMIFS('บันทึกของเข้า-ออก'!$J:$J,'บันทึกของเข้า-ออก'!$B:$B,สรุป!$C76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6" s="9">
        <f>AD76+SUMIFS('บันทึกของเข้า-ออก'!$J:$J,'บันทึกของเข้า-ออก'!$B:$B,สรุป!$C76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6" s="9">
        <f>AE76+SUMIFS('บันทึกของเข้า-ออก'!$J:$J,'บันทึกของเข้า-ออก'!$B:$B,สรุป!$C76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6" s="9">
        <f>AF76+SUMIFS('บันทึกของเข้า-ออก'!$J:$J,'บันทึกของเข้า-ออก'!$B:$B,สรุป!$C76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6" s="9">
        <f>AG76+SUMIFS('บันทึกของเข้า-ออก'!$J:$J,'บันทึกของเข้า-ออก'!$B:$B,สรุป!$C76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6" s="9">
        <f>AH76+SUMIFS('บันทึกของเข้า-ออก'!$J:$J,'บันทึกของเข้า-ออก'!$B:$B,สรุป!$C76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6" s="9">
        <f>AI76+SUMIFS('บันทึกของเข้า-ออก'!$J:$J,'บันทึกของเข้า-ออก'!$B:$B,สรุป!$C76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6" s="9">
        <f>AJ76+SUMIFS('บันทึกของเข้า-ออก'!$J:$J,'บันทึกของเข้า-ออก'!$B:$B,สรุป!$C76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6" s="9">
        <f>AK76+SUMIFS('บันทึกของเข้า-ออก'!$J:$J,'บันทึกของเข้า-ออก'!$B:$B,สรุป!$C76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6" s="26"/>
      <c r="T76" s="33"/>
      <c r="U76" s="34"/>
      <c r="V76" s="25" t="str">
        <f t="shared" si="8"/>
        <v>แผ่นเมทัลชีส ยาว 4 ม</v>
      </c>
      <c r="W76" s="82">
        <v>42</v>
      </c>
      <c r="X76" s="35" t="s">
        <v>59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  <c r="AK76" s="26">
        <v>0</v>
      </c>
      <c r="AL76" s="34"/>
    </row>
    <row r="77" spans="2:38" x14ac:dyDescent="0.3">
      <c r="B77" s="43" t="s">
        <v>102</v>
      </c>
      <c r="C77" s="6" t="s">
        <v>90</v>
      </c>
      <c r="D77" s="79">
        <f t="shared" si="4"/>
        <v>0</v>
      </c>
      <c r="E77" s="6" t="s">
        <v>59</v>
      </c>
      <c r="F77" s="9">
        <f>Y77+SUMIFS('บันทึกของเข้า-ออก'!$J:$J,'บันทึกของเข้า-ออก'!$B:$B,สรุป!$C77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7" s="9">
        <f>Z77+SUMIFS('บันทึกของเข้า-ออก'!$J:$J,'บันทึกของเข้า-ออก'!$B:$B,สรุป!$C77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7" s="9">
        <f>AA77+SUMIFS('บันทึกของเข้า-ออก'!$J:$J,'บันทึกของเข้า-ออก'!$B:$B,สรุป!$C77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7" s="9">
        <f>AB77+SUMIFS('บันทึกของเข้า-ออก'!$J:$J,'บันทึกของเข้า-ออก'!$B:$B,สรุป!$C77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7" s="9">
        <f>AC77+SUMIFS('บันทึกของเข้า-ออก'!$J:$J,'บันทึกของเข้า-ออก'!$B:$B,สรุป!$C77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7" s="9">
        <f>AD77+SUMIFS('บันทึกของเข้า-ออก'!$J:$J,'บันทึกของเข้า-ออก'!$B:$B,สรุป!$C77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7" s="9">
        <f>AE77+SUMIFS('บันทึกของเข้า-ออก'!$J:$J,'บันทึกของเข้า-ออก'!$B:$B,สรุป!$C77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7" s="9">
        <f>AF77+SUMIFS('บันทึกของเข้า-ออก'!$J:$J,'บันทึกของเข้า-ออก'!$B:$B,สรุป!$C77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7" s="9">
        <f>AG77+SUMIFS('บันทึกของเข้า-ออก'!$J:$J,'บันทึกของเข้า-ออก'!$B:$B,สรุป!$C77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7" s="9">
        <f>AH77+SUMIFS('บันทึกของเข้า-ออก'!$J:$J,'บันทึกของเข้า-ออก'!$B:$B,สรุป!$C77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7" s="9">
        <f>AI77+SUMIFS('บันทึกของเข้า-ออก'!$J:$J,'บันทึกของเข้า-ออก'!$B:$B,สรุป!$C77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7" s="9">
        <f>AJ77+SUMIFS('บันทึกของเข้า-ออก'!$J:$J,'บันทึกของเข้า-ออก'!$B:$B,สรุป!$C77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7" s="9">
        <f>AK77+SUMIFS('บันทึกของเข้า-ออก'!$J:$J,'บันทึกของเข้า-ออก'!$B:$B,สรุป!$C77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7" s="26"/>
      <c r="T77" s="33"/>
      <c r="U77" s="34"/>
      <c r="V77" s="25" t="str">
        <f t="shared" si="8"/>
        <v>แผ่นเมทัลชีส ยาว 5 ม</v>
      </c>
      <c r="W77" s="82">
        <v>13</v>
      </c>
      <c r="X77" s="35" t="s">
        <v>59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34"/>
    </row>
    <row r="78" spans="2:38" x14ac:dyDescent="0.3">
      <c r="B78" s="43" t="s">
        <v>102</v>
      </c>
      <c r="C78" s="6" t="s">
        <v>89</v>
      </c>
      <c r="D78" s="79">
        <f t="shared" si="4"/>
        <v>0</v>
      </c>
      <c r="E78" s="6" t="s">
        <v>59</v>
      </c>
      <c r="F78" s="9">
        <f>Y78+SUMIFS('บันทึกของเข้า-ออก'!$J:$J,'บันทึกของเข้า-ออก'!$B:$B,สรุป!$C78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8" s="9">
        <f>Z78+SUMIFS('บันทึกของเข้า-ออก'!$J:$J,'บันทึกของเข้า-ออก'!$B:$B,สรุป!$C78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8" s="9">
        <f>AA78+SUMIFS('บันทึกของเข้า-ออก'!$J:$J,'บันทึกของเข้า-ออก'!$B:$B,สรุป!$C78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8" s="9">
        <f>AB78+SUMIFS('บันทึกของเข้า-ออก'!$J:$J,'บันทึกของเข้า-ออก'!$B:$B,สรุป!$C78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8" s="9">
        <f>AC78+SUMIFS('บันทึกของเข้า-ออก'!$J:$J,'บันทึกของเข้า-ออก'!$B:$B,สรุป!$C78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8" s="9">
        <f>AD78+SUMIFS('บันทึกของเข้า-ออก'!$J:$J,'บันทึกของเข้า-ออก'!$B:$B,สรุป!$C78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8" s="9">
        <f>AE78+SUMIFS('บันทึกของเข้า-ออก'!$J:$J,'บันทึกของเข้า-ออก'!$B:$B,สรุป!$C78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8" s="9">
        <f>AF78+SUMIFS('บันทึกของเข้า-ออก'!$J:$J,'บันทึกของเข้า-ออก'!$B:$B,สรุป!$C78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8" s="9">
        <f>AG78+SUMIFS('บันทึกของเข้า-ออก'!$J:$J,'บันทึกของเข้า-ออก'!$B:$B,สรุป!$C78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8" s="9">
        <f>AH78+SUMIFS('บันทึกของเข้า-ออก'!$J:$J,'บันทึกของเข้า-ออก'!$B:$B,สรุป!$C78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8" s="9">
        <f>AI78+SUMIFS('บันทึกของเข้า-ออก'!$J:$J,'บันทึกของเข้า-ออก'!$B:$B,สรุป!$C78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8" s="9">
        <f>AJ78+SUMIFS('บันทึกของเข้า-ออก'!$J:$J,'บันทึกของเข้า-ออก'!$B:$B,สรุป!$C78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8" s="9">
        <f>AK78+SUMIFS('บันทึกของเข้า-ออก'!$J:$J,'บันทึกของเข้า-ออก'!$B:$B,สรุป!$C78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8" s="26"/>
      <c r="T78" s="33"/>
      <c r="U78" s="34"/>
      <c r="V78" s="25" t="str">
        <f t="shared" si="8"/>
        <v>แผ่นสังกะสี ยาว 2 ม</v>
      </c>
      <c r="W78" s="82">
        <v>130</v>
      </c>
      <c r="X78" s="35" t="s">
        <v>59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  <c r="AI78" s="26">
        <v>0</v>
      </c>
      <c r="AJ78" s="26">
        <v>0</v>
      </c>
      <c r="AK78" s="26">
        <v>0</v>
      </c>
      <c r="AL78" s="34"/>
    </row>
    <row r="79" spans="2:38" x14ac:dyDescent="0.3">
      <c r="B79" s="43" t="s">
        <v>102</v>
      </c>
      <c r="C79" s="6" t="s">
        <v>88</v>
      </c>
      <c r="D79" s="79">
        <f t="shared" si="4"/>
        <v>0</v>
      </c>
      <c r="E79" s="6" t="s">
        <v>59</v>
      </c>
      <c r="F79" s="9">
        <f>Y79+SUMIFS('บันทึกของเข้า-ออก'!$J:$J,'บันทึกของเข้า-ออก'!$B:$B,สรุป!$C79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79" s="9">
        <f>Z79+SUMIFS('บันทึกของเข้า-ออก'!$J:$J,'บันทึกของเข้า-ออก'!$B:$B,สรุป!$C79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79" s="9">
        <f>AA79+SUMIFS('บันทึกของเข้า-ออก'!$J:$J,'บันทึกของเข้า-ออก'!$B:$B,สรุป!$C79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79" s="9">
        <f>AB79+SUMIFS('บันทึกของเข้า-ออก'!$J:$J,'บันทึกของเข้า-ออก'!$B:$B,สรุป!$C79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79" s="9">
        <f>AC79+SUMIFS('บันทึกของเข้า-ออก'!$J:$J,'บันทึกของเข้า-ออก'!$B:$B,สรุป!$C79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79" s="9">
        <f>AD79+SUMIFS('บันทึกของเข้า-ออก'!$J:$J,'บันทึกของเข้า-ออก'!$B:$B,สรุป!$C79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79" s="9">
        <f>AE79+SUMIFS('บันทึกของเข้า-ออก'!$J:$J,'บันทึกของเข้า-ออก'!$B:$B,สรุป!$C79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79" s="9">
        <f>AF79+SUMIFS('บันทึกของเข้า-ออก'!$J:$J,'บันทึกของเข้า-ออก'!$B:$B,สรุป!$C79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79" s="9">
        <f>AG79+SUMIFS('บันทึกของเข้า-ออก'!$J:$J,'บันทึกของเข้า-ออก'!$B:$B,สรุป!$C79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79" s="9">
        <f>AH79+SUMIFS('บันทึกของเข้า-ออก'!$J:$J,'บันทึกของเข้า-ออก'!$B:$B,สรุป!$C79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79" s="9">
        <f>AI79+SUMIFS('บันทึกของเข้า-ออก'!$J:$J,'บันทึกของเข้า-ออก'!$B:$B,สรุป!$C79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79" s="9">
        <f>AJ79+SUMIFS('บันทึกของเข้า-ออก'!$J:$J,'บันทึกของเข้า-ออก'!$B:$B,สรุป!$C79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79" s="9">
        <f>AK79+SUMIFS('บันทึกของเข้า-ออก'!$J:$J,'บันทึกของเข้า-ออก'!$B:$B,สรุป!$C79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79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79" s="26"/>
      <c r="T79" s="33"/>
      <c r="U79" s="34"/>
      <c r="V79" s="25" t="str">
        <f t="shared" si="8"/>
        <v>แผ่นสังกะสี ยาว 3 ม</v>
      </c>
      <c r="W79" s="82">
        <v>80</v>
      </c>
      <c r="X79" s="35" t="s">
        <v>59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  <c r="AI79" s="26">
        <v>0</v>
      </c>
      <c r="AJ79" s="26">
        <v>0</v>
      </c>
      <c r="AK79" s="26">
        <v>0</v>
      </c>
      <c r="AL79" s="34"/>
    </row>
    <row r="80" spans="2:38" x14ac:dyDescent="0.3">
      <c r="B80" s="43" t="s">
        <v>102</v>
      </c>
      <c r="C80" s="6" t="s">
        <v>41</v>
      </c>
      <c r="D80" s="79">
        <f t="shared" si="4"/>
        <v>116</v>
      </c>
      <c r="E80" s="6" t="s">
        <v>59</v>
      </c>
      <c r="F80" s="9">
        <f>Y80+SUMIFS('บันทึกของเข้า-ออก'!$J:$J,'บันทึกของเข้า-ออก'!$B:$B,สรุป!$C80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0" s="9">
        <f>Z80+SUMIFS('บันทึกของเข้า-ออก'!$J:$J,'บันทึกของเข้า-ออก'!$B:$B,สรุป!$C80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0" s="9">
        <f>AA80+SUMIFS('บันทึกของเข้า-ออก'!$J:$J,'บันทึกของเข้า-ออก'!$B:$B,สรุป!$C80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0" s="9">
        <f>AB80+SUMIFS('บันทึกของเข้า-ออก'!$J:$J,'บันทึกของเข้า-ออก'!$B:$B,สรุป!$C80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I$5,'บันทึกของเข้า-ออก'!$D:$D,"&gt;="&amp;สรุป!$F$2,'บันทึกของเข้า-ออก'!$D:$D,"&lt;="&amp;สรุป!$G$2)</f>
        <v>116</v>
      </c>
      <c r="J80" s="9">
        <f>AC80+SUMIFS('บันทึกของเข้า-ออก'!$J:$J,'บันทึกของเข้า-ออก'!$B:$B,สรุป!$C80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0" s="9">
        <f>AD80+SUMIFS('บันทึกของเข้า-ออก'!$J:$J,'บันทึกของเข้า-ออก'!$B:$B,สรุป!$C80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0" s="9">
        <f>AE80+SUMIFS('บันทึกของเข้า-ออก'!$J:$J,'บันทึกของเข้า-ออก'!$B:$B,สรุป!$C80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0" s="9">
        <f>AF80+SUMIFS('บันทึกของเข้า-ออก'!$J:$J,'บันทึกของเข้า-ออก'!$B:$B,สรุป!$C80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0" s="9">
        <f>AG80+SUMIFS('บันทึกของเข้า-ออก'!$J:$J,'บันทึกของเข้า-ออก'!$B:$B,สรุป!$C80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0" s="9">
        <f>AH80+SUMIFS('บันทึกของเข้า-ออก'!$J:$J,'บันทึกของเข้า-ออก'!$B:$B,สรุป!$C80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0" s="9">
        <f>AI80+SUMIFS('บันทึกของเข้า-ออก'!$J:$J,'บันทึกของเข้า-ออก'!$B:$B,สรุป!$C80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0" s="9">
        <f>AJ80+SUMIFS('บันทึกของเข้า-ออก'!$J:$J,'บันทึกของเข้า-ออก'!$B:$B,สรุป!$C80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0" s="9">
        <f>AK80+SUMIFS('บันทึกของเข้า-ออก'!$J:$J,'บันทึกของเข้า-ออก'!$B:$B,สรุป!$C80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0" s="26"/>
      <c r="T80" s="33"/>
      <c r="U80" s="34"/>
      <c r="V80" s="25" t="str">
        <f t="shared" si="8"/>
        <v>แผ่นสังกะสีเก่า</v>
      </c>
      <c r="W80" s="82">
        <v>231</v>
      </c>
      <c r="X80" s="35" t="s">
        <v>59</v>
      </c>
      <c r="Y80" s="26">
        <v>0</v>
      </c>
      <c r="Z80" s="26">
        <v>0</v>
      </c>
      <c r="AA80" s="26">
        <v>0</v>
      </c>
      <c r="AB80" s="26">
        <v>116</v>
      </c>
      <c r="AC80" s="26">
        <v>0</v>
      </c>
      <c r="AD80" s="26">
        <v>0</v>
      </c>
      <c r="AE80" s="26">
        <v>0</v>
      </c>
      <c r="AF80" s="26">
        <v>0</v>
      </c>
      <c r="AG80" s="26">
        <v>0</v>
      </c>
      <c r="AH80" s="26">
        <v>0</v>
      </c>
      <c r="AI80" s="26">
        <v>0</v>
      </c>
      <c r="AJ80" s="26">
        <v>0</v>
      </c>
      <c r="AK80" s="26">
        <v>0</v>
      </c>
      <c r="AL80" s="34"/>
    </row>
    <row r="81" spans="2:38" x14ac:dyDescent="0.3">
      <c r="B81" s="43" t="s">
        <v>102</v>
      </c>
      <c r="C81" s="6" t="s">
        <v>42</v>
      </c>
      <c r="D81" s="79">
        <f t="shared" si="4"/>
        <v>0</v>
      </c>
      <c r="E81" s="6" t="s">
        <v>55</v>
      </c>
      <c r="F81" s="9">
        <f>Y81+SUMIFS('บันทึกของเข้า-ออก'!$J:$J,'บันทึกของเข้า-ออก'!$B:$B,สรุป!$C81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1" s="9">
        <f>Z81+SUMIFS('บันทึกของเข้า-ออก'!$J:$J,'บันทึกของเข้า-ออก'!$B:$B,สรุป!$C81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1" s="9">
        <f>AA81+SUMIFS('บันทึกของเข้า-ออก'!$J:$J,'บันทึกของเข้า-ออก'!$B:$B,สรุป!$C81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1" s="9">
        <f>AB81+SUMIFS('บันทึกของเข้า-ออก'!$J:$J,'บันทึกของเข้า-ออก'!$B:$B,สรุป!$C81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1" s="9">
        <f>AC81+SUMIFS('บันทึกของเข้า-ออก'!$J:$J,'บันทึกของเข้า-ออก'!$B:$B,สรุป!$C81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1" s="9">
        <f>AD81+SUMIFS('บันทึกของเข้า-ออก'!$J:$J,'บันทึกของเข้า-ออก'!$B:$B,สรุป!$C81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1" s="9">
        <f>AE81+SUMIFS('บันทึกของเข้า-ออก'!$J:$J,'บันทึกของเข้า-ออก'!$B:$B,สรุป!$C81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1" s="9">
        <f>AF81+SUMIFS('บันทึกของเข้า-ออก'!$J:$J,'บันทึกของเข้า-ออก'!$B:$B,สรุป!$C81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1" s="9">
        <f>AG81+SUMIFS('บันทึกของเข้า-ออก'!$J:$J,'บันทึกของเข้า-ออก'!$B:$B,สรุป!$C81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1" s="9">
        <f>AH81+SUMIFS('บันทึกของเข้า-ออก'!$J:$J,'บันทึกของเข้า-ออก'!$B:$B,สรุป!$C81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1" s="9">
        <f>AI81+SUMIFS('บันทึกของเข้า-ออก'!$J:$J,'บันทึกของเข้า-ออก'!$B:$B,สรุป!$C81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1" s="9">
        <f>AJ81+SUMIFS('บันทึกของเข้า-ออก'!$J:$J,'บันทึกของเข้า-ออก'!$B:$B,สรุป!$C81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1" s="9">
        <f>AK81+SUMIFS('บันทึกของเข้า-ออก'!$J:$J,'บันทึกของเข้า-ออก'!$B:$B,สรุป!$C81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1" s="26"/>
      <c r="T81" s="33"/>
      <c r="U81" s="34"/>
      <c r="V81" s="25" t="str">
        <f t="shared" si="8"/>
        <v>ไม้ยูคา 2"</v>
      </c>
      <c r="W81" s="82">
        <v>100</v>
      </c>
      <c r="X81" s="35" t="s">
        <v>55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34"/>
    </row>
    <row r="82" spans="2:38" x14ac:dyDescent="0.3">
      <c r="B82" s="43" t="s">
        <v>102</v>
      </c>
      <c r="C82" s="6" t="s">
        <v>92</v>
      </c>
      <c r="D82" s="79">
        <f t="shared" si="4"/>
        <v>300</v>
      </c>
      <c r="E82" s="6" t="s">
        <v>55</v>
      </c>
      <c r="F82" s="9">
        <f>Y82+SUMIFS('บันทึกของเข้า-ออก'!$J:$J,'บันทึกของเข้า-ออก'!$B:$B,สรุป!$C82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2" s="9">
        <f>Z82+SUMIFS('บันทึกของเข้า-ออก'!$J:$J,'บันทึกของเข้า-ออก'!$B:$B,สรุป!$C82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2" s="9">
        <f>AA82+SUMIFS('บันทึกของเข้า-ออก'!$J:$J,'บันทึกของเข้า-ออก'!$B:$B,สรุป!$C82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2" s="9">
        <f>AB82+SUMIFS('บันทึกของเข้า-ออก'!$J:$J,'บันทึกของเข้า-ออก'!$B:$B,สรุป!$C82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2" s="9">
        <v>300</v>
      </c>
      <c r="K82" s="9">
        <f>AD82+SUMIFS('บันทึกของเข้า-ออก'!$J:$J,'บันทึกของเข้า-ออก'!$B:$B,สรุป!$C82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2" s="9">
        <f>AE82+SUMIFS('บันทึกของเข้า-ออก'!$J:$J,'บันทึกของเข้า-ออก'!$B:$B,สรุป!$C82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2" s="9">
        <f>AF82+SUMIFS('บันทึกของเข้า-ออก'!$J:$J,'บันทึกของเข้า-ออก'!$B:$B,สรุป!$C82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2" s="9">
        <f>AG82+SUMIFS('บันทึกของเข้า-ออก'!$J:$J,'บันทึกของเข้า-ออก'!$B:$B,สรุป!$C82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2" s="9">
        <f>AH82+SUMIFS('บันทึกของเข้า-ออก'!$J:$J,'บันทึกของเข้า-ออก'!$B:$B,สรุป!$C82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2" s="9">
        <f>AI82+SUMIFS('บันทึกของเข้า-ออก'!$J:$J,'บันทึกของเข้า-ออก'!$B:$B,สรุป!$C82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2" s="9">
        <f>AJ82+SUMIFS('บันทึกของเข้า-ออก'!$J:$J,'บันทึกของเข้า-ออก'!$B:$B,สรุป!$C82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2" s="9">
        <f>AK82+SUMIFS('บันทึกของเข้า-ออก'!$J:$J,'บันทึกของเข้า-ออก'!$B:$B,สรุป!$C82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2" s="26"/>
      <c r="T82" s="33"/>
      <c r="U82" s="34"/>
      <c r="V82" s="25" t="str">
        <f t="shared" si="8"/>
        <v>ไม้ยูคา 3"</v>
      </c>
      <c r="W82" s="82">
        <v>300</v>
      </c>
      <c r="X82" s="35" t="s">
        <v>55</v>
      </c>
      <c r="Y82" s="26">
        <v>0</v>
      </c>
      <c r="Z82" s="26">
        <v>0</v>
      </c>
      <c r="AA82" s="26">
        <v>0</v>
      </c>
      <c r="AB82" s="26">
        <v>0</v>
      </c>
      <c r="AC82" s="26">
        <v>300</v>
      </c>
      <c r="AD82" s="26">
        <v>0</v>
      </c>
      <c r="AE82" s="26">
        <v>0</v>
      </c>
      <c r="AF82" s="26">
        <v>0</v>
      </c>
      <c r="AG82" s="26">
        <v>0</v>
      </c>
      <c r="AH82" s="26">
        <v>0</v>
      </c>
      <c r="AI82" s="26">
        <v>0</v>
      </c>
      <c r="AJ82" s="26">
        <v>0</v>
      </c>
      <c r="AK82" s="26">
        <v>0</v>
      </c>
      <c r="AL82" s="34"/>
    </row>
    <row r="83" spans="2:38" x14ac:dyDescent="0.3">
      <c r="B83" s="43" t="s">
        <v>102</v>
      </c>
      <c r="C83" s="6" t="s">
        <v>43</v>
      </c>
      <c r="D83" s="79">
        <f t="shared" si="4"/>
        <v>0</v>
      </c>
      <c r="E83" s="6" t="s">
        <v>55</v>
      </c>
      <c r="F83" s="9">
        <f>Y83+SUMIFS('บันทึกของเข้า-ออก'!$J:$J,'บันทึกของเข้า-ออก'!$B:$B,สรุป!$C83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3" s="9">
        <f>Z83+SUMIFS('บันทึกของเข้า-ออก'!$J:$J,'บันทึกของเข้า-ออก'!$B:$B,สรุป!$C83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3" s="9">
        <f>AA83+SUMIFS('บันทึกของเข้า-ออก'!$J:$J,'บันทึกของเข้า-ออก'!$B:$B,สรุป!$C83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3" s="9">
        <f>AB83+SUMIFS('บันทึกของเข้า-ออก'!$J:$J,'บันทึกของเข้า-ออก'!$B:$B,สรุป!$C83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3" s="9">
        <f>AC83+SUMIFS('บันทึกของเข้า-ออก'!$J:$J,'บันทึกของเข้า-ออก'!$B:$B,สรุป!$C83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3" s="9">
        <f>AD83+SUMIFS('บันทึกของเข้า-ออก'!$J:$J,'บันทึกของเข้า-ออก'!$B:$B,สรุป!$C83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3" s="9">
        <f>AE83+SUMIFS('บันทึกของเข้า-ออก'!$J:$J,'บันทึกของเข้า-ออก'!$B:$B,สรุป!$C83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3" s="9">
        <f>AF83+SUMIFS('บันทึกของเข้า-ออก'!$J:$J,'บันทึกของเข้า-ออก'!$B:$B,สรุป!$C83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3" s="9">
        <f>AG83+SUMIFS('บันทึกของเข้า-ออก'!$J:$J,'บันทึกของเข้า-ออก'!$B:$B,สรุป!$C83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3" s="9">
        <f>AH83+SUMIFS('บันทึกของเข้า-ออก'!$J:$J,'บันทึกของเข้า-ออก'!$B:$B,สรุป!$C83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3" s="9">
        <f>AI83+SUMIFS('บันทึกของเข้า-ออก'!$J:$J,'บันทึกของเข้า-ออก'!$B:$B,สรุป!$C83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3" s="9">
        <f>AJ83+SUMIFS('บันทึกของเข้า-ออก'!$J:$J,'บันทึกของเข้า-ออก'!$B:$B,สรุป!$C83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3" s="9">
        <f>AK83+SUMIFS('บันทึกของเข้า-ออก'!$J:$J,'บันทึกของเข้า-ออก'!$B:$B,สรุป!$C83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3" s="26"/>
      <c r="T83" s="33"/>
      <c r="U83" s="34"/>
      <c r="V83" s="25" t="str">
        <f t="shared" si="8"/>
        <v>ไม้ยูคา 4"</v>
      </c>
      <c r="W83" s="82">
        <v>0</v>
      </c>
      <c r="X83" s="35" t="s">
        <v>55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  <c r="AD83" s="26">
        <v>0</v>
      </c>
      <c r="AE83" s="26">
        <v>0</v>
      </c>
      <c r="AF83" s="26">
        <v>0</v>
      </c>
      <c r="AG83" s="26">
        <v>0</v>
      </c>
      <c r="AH83" s="26">
        <v>0</v>
      </c>
      <c r="AI83" s="26">
        <v>0</v>
      </c>
      <c r="AJ83" s="26">
        <v>0</v>
      </c>
      <c r="AK83" s="26">
        <v>0</v>
      </c>
      <c r="AL83" s="34"/>
    </row>
    <row r="84" spans="2:38" x14ac:dyDescent="0.3">
      <c r="B84" s="43" t="s">
        <v>102</v>
      </c>
      <c r="C84" s="6" t="s">
        <v>162</v>
      </c>
      <c r="D84" s="79">
        <f t="shared" si="4"/>
        <v>0</v>
      </c>
      <c r="E84" s="6" t="s">
        <v>55</v>
      </c>
      <c r="F84" s="9">
        <f>Y84+SUMIFS('บันทึกของเข้า-ออก'!$J:$J,'บันทึกของเข้า-ออก'!$B:$B,สรุป!$C84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4" s="9">
        <f>Z84+SUMIFS('บันทึกของเข้า-ออก'!$J:$J,'บันทึกของเข้า-ออก'!$B:$B,สรุป!$C84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4" s="9">
        <f>AA84+SUMIFS('บันทึกของเข้า-ออก'!$J:$J,'บันทึกของเข้า-ออก'!$B:$B,สรุป!$C84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4" s="9">
        <f>AB84+SUMIFS('บันทึกของเข้า-ออก'!$J:$J,'บันทึกของเข้า-ออก'!$B:$B,สรุป!$C84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4" s="9">
        <f>AC84+SUMIFS('บันทึกของเข้า-ออก'!$J:$J,'บันทึกของเข้า-ออก'!$B:$B,สรุป!$C84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4" s="9">
        <f>AD84+SUMIFS('บันทึกของเข้า-ออก'!$J:$J,'บันทึกของเข้า-ออก'!$B:$B,สรุป!$C84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4" s="9">
        <f>AE84+SUMIFS('บันทึกของเข้า-ออก'!$J:$J,'บันทึกของเข้า-ออก'!$B:$B,สรุป!$C84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4" s="9">
        <f>AF84+SUMIFS('บันทึกของเข้า-ออก'!$J:$J,'บันทึกของเข้า-ออก'!$B:$B,สรุป!$C84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4" s="9">
        <f>AG84+SUMIFS('บันทึกของเข้า-ออก'!$J:$J,'บันทึกของเข้า-ออก'!$B:$B,สรุป!$C84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4" s="9">
        <f>AH84+SUMIFS('บันทึกของเข้า-ออก'!$J:$J,'บันทึกของเข้า-ออก'!$B:$B,สรุป!$C84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4" s="9">
        <f>AI84+SUMIFS('บันทึกของเข้า-ออก'!$J:$J,'บันทึกของเข้า-ออก'!$B:$B,สรุป!$C84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4" s="9">
        <f>AJ84+SUMIFS('บันทึกของเข้า-ออก'!$J:$J,'บันทึกของเข้า-ออก'!$B:$B,สรุป!$C84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4" s="9">
        <f>AK84+SUMIFS('บันทึกของเข้า-ออก'!$J:$J,'บันทึกของเข้า-ออก'!$B:$B,สรุป!$C84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4" s="26"/>
      <c r="T84" s="33"/>
      <c r="U84" s="34"/>
      <c r="V84" s="25" t="str">
        <f t="shared" si="8"/>
        <v>ไม้ยูคา 50 ซ</v>
      </c>
      <c r="W84" s="82">
        <v>12</v>
      </c>
      <c r="X84" s="35" t="s">
        <v>55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  <c r="AH84" s="26">
        <v>0</v>
      </c>
      <c r="AI84" s="26">
        <v>0</v>
      </c>
      <c r="AJ84" s="26">
        <v>0</v>
      </c>
      <c r="AK84" s="26">
        <v>0</v>
      </c>
      <c r="AL84" s="34"/>
    </row>
    <row r="85" spans="2:38" x14ac:dyDescent="0.3">
      <c r="B85" s="43" t="s">
        <v>104</v>
      </c>
      <c r="C85" s="6" t="s">
        <v>70</v>
      </c>
      <c r="D85" s="79">
        <f t="shared" si="4"/>
        <v>0</v>
      </c>
      <c r="E85" s="6" t="s">
        <v>58</v>
      </c>
      <c r="F85" s="9">
        <f>Y85+SUMIFS('บันทึกของเข้า-ออก'!$J:$J,'บันทึกของเข้า-ออก'!$B:$B,สรุป!$C85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5" s="9">
        <f>Z85+SUMIFS('บันทึกของเข้า-ออก'!$J:$J,'บันทึกของเข้า-ออก'!$B:$B,สรุป!$C85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5" s="9">
        <f>AA85+SUMIFS('บันทึกของเข้า-ออก'!$J:$J,'บันทึกของเข้า-ออก'!$B:$B,สรุป!$C85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5" s="9">
        <f>AB85+SUMIFS('บันทึกของเข้า-ออก'!$J:$J,'บันทึกของเข้า-ออก'!$B:$B,สรุป!$C85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5" s="9">
        <f>AC85+SUMIFS('บันทึกของเข้า-ออก'!$J:$J,'บันทึกของเข้า-ออก'!$B:$B,สรุป!$C85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5" s="9">
        <f>AD85+SUMIFS('บันทึกของเข้า-ออก'!$J:$J,'บันทึกของเข้า-ออก'!$B:$B,สรุป!$C85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5" s="9">
        <f>AE85+SUMIFS('บันทึกของเข้า-ออก'!$J:$J,'บันทึกของเข้า-ออก'!$B:$B,สรุป!$C85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5" s="9">
        <f>AF85+SUMIFS('บันทึกของเข้า-ออก'!$J:$J,'บันทึกของเข้า-ออก'!$B:$B,สรุป!$C85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5" s="9">
        <f>AG85+SUMIFS('บันทึกของเข้า-ออก'!$J:$J,'บันทึกของเข้า-ออก'!$B:$B,สรุป!$C85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5" s="9">
        <f>AH85+SUMIFS('บันทึกของเข้า-ออก'!$J:$J,'บันทึกของเข้า-ออก'!$B:$B,สรุป!$C85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5" s="9">
        <f>AI85+SUMIFS('บันทึกของเข้า-ออก'!$J:$J,'บันทึกของเข้า-ออก'!$B:$B,สรุป!$C85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5" s="9">
        <f>AJ85+SUMIFS('บันทึกของเข้า-ออก'!$J:$J,'บันทึกของเข้า-ออก'!$B:$B,สรุป!$C85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5" s="9">
        <f>AK85+SUMIFS('บันทึกของเข้า-ออก'!$J:$J,'บันทึกของเข้า-ออก'!$B:$B,สรุป!$C85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5" s="26"/>
      <c r="T85" s="33"/>
      <c r="U85" s="34"/>
      <c r="V85" s="25" t="str">
        <f t="shared" si="8"/>
        <v>เบรคเกอร์ IP 50 A</v>
      </c>
      <c r="W85" s="82">
        <v>0</v>
      </c>
      <c r="X85" s="35" t="s">
        <v>58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  <c r="AI85" s="26">
        <v>0</v>
      </c>
      <c r="AJ85" s="26">
        <v>0</v>
      </c>
      <c r="AK85" s="26">
        <v>0</v>
      </c>
      <c r="AL85" s="34"/>
    </row>
    <row r="86" spans="2:38" x14ac:dyDescent="0.3">
      <c r="B86" s="43" t="s">
        <v>104</v>
      </c>
      <c r="C86" s="6" t="s">
        <v>386</v>
      </c>
      <c r="D86" s="79">
        <f t="shared" si="4"/>
        <v>2</v>
      </c>
      <c r="E86" s="6" t="s">
        <v>56</v>
      </c>
      <c r="F86" s="9">
        <f>Y86+SUMIFS('บันทึกของเข้า-ออก'!$J:$J,'บันทึกของเข้า-ออก'!$B:$B,สรุป!$C86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6" s="9">
        <f>Z86+SUMIFS('บันทึกของเข้า-ออก'!$J:$J,'บันทึกของเข้า-ออก'!$B:$B,สรุป!$C86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6" s="9">
        <f>AA86+SUMIFS('บันทึกของเข้า-ออก'!$J:$J,'บันทึกของเข้า-ออก'!$B:$B,สรุป!$C86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6" s="9">
        <f>AB86+SUMIFS('บันทึกของเข้า-ออก'!$J:$J,'บันทึกของเข้า-ออก'!$B:$B,สรุป!$C86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6" s="9">
        <v>2</v>
      </c>
      <c r="K86" s="9">
        <f>AD86+SUMIFS('บันทึกของเข้า-ออก'!$J:$J,'บันทึกของเข้า-ออก'!$B:$B,สรุป!$C86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6" s="9">
        <f>AE86+SUMIFS('บันทึกของเข้า-ออก'!$J:$J,'บันทึกของเข้า-ออก'!$B:$B,สรุป!$C86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6" s="9">
        <f>AF86+SUMIFS('บันทึกของเข้า-ออก'!$J:$J,'บันทึกของเข้า-ออก'!$B:$B,สรุป!$C86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6" s="9">
        <f>AG86+SUMIFS('บันทึกของเข้า-ออก'!$J:$J,'บันทึกของเข้า-ออก'!$B:$B,สรุป!$C86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6" s="9">
        <f>AH86+SUMIFS('บันทึกของเข้า-ออก'!$J:$J,'บันทึกของเข้า-ออก'!$B:$B,สรุป!$C86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6" s="9">
        <f>AI86+SUMIFS('บันทึกของเข้า-ออก'!$J:$J,'บันทึกของเข้า-ออก'!$B:$B,สรุป!$C86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6" s="9">
        <f>AJ86+SUMIFS('บันทึกของเข้า-ออก'!$J:$J,'บันทึกของเข้า-ออก'!$B:$B,สรุป!$C86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6" s="9">
        <f>AK86+SUMIFS('บันทึกของเข้า-ออก'!$J:$J,'บันทึกของเข้า-ออก'!$B:$B,สรุป!$C86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6" s="26"/>
      <c r="T86" s="33"/>
      <c r="U86" s="34"/>
      <c r="V86" s="25" t="str">
        <f t="shared" si="8"/>
        <v>มิเตอร์ประปา</v>
      </c>
      <c r="W86" s="82"/>
      <c r="X86" s="35" t="s">
        <v>56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34"/>
    </row>
    <row r="87" spans="2:38" x14ac:dyDescent="0.3">
      <c r="B87" s="43" t="s">
        <v>104</v>
      </c>
      <c r="C87" s="6" t="s">
        <v>384</v>
      </c>
      <c r="D87" s="79">
        <f t="shared" si="4"/>
        <v>0</v>
      </c>
      <c r="E87" s="6" t="s">
        <v>56</v>
      </c>
      <c r="F87" s="9">
        <f>Y87+SUMIFS('บันทึกของเข้า-ออก'!$J:$J,'บันทึกของเข้า-ออก'!$B:$B,สรุป!$C87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7" s="9">
        <f>Z87+SUMIFS('บันทึกของเข้า-ออก'!$J:$J,'บันทึกของเข้า-ออก'!$B:$B,สรุป!$C87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7" s="9">
        <f>AA87+SUMIFS('บันทึกของเข้า-ออก'!$J:$J,'บันทึกของเข้า-ออก'!$B:$B,สรุป!$C87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7" s="9">
        <f>AB87+SUMIFS('บันทึกของเข้า-ออก'!$J:$J,'บันทึกของเข้า-ออก'!$B:$B,สรุป!$C87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7" s="9">
        <f>AC87+SUMIFS('บันทึกของเข้า-ออก'!$J:$J,'บันทึกของเข้า-ออก'!$B:$B,สรุป!$C87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7" s="9">
        <f>AD87+SUMIFS('บันทึกของเข้า-ออก'!$J:$J,'บันทึกของเข้า-ออก'!$B:$B,สรุป!$C87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7" s="9">
        <f>AE87+SUMIFS('บันทึกของเข้า-ออก'!$J:$J,'บันทึกของเข้า-ออก'!$B:$B,สรุป!$C87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7" s="9">
        <f>AF87+SUMIFS('บันทึกของเข้า-ออก'!$J:$J,'บันทึกของเข้า-ออก'!$B:$B,สรุป!$C87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7" s="9">
        <f>AG87+SUMIFS('บันทึกของเข้า-ออก'!$J:$J,'บันทึกของเข้า-ออก'!$B:$B,สรุป!$C87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7" s="9">
        <f>AH87+SUMIFS('บันทึกของเข้า-ออก'!$J:$J,'บันทึกของเข้า-ออก'!$B:$B,สรุป!$C87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7" s="9">
        <f>AI87+SUMIFS('บันทึกของเข้า-ออก'!$J:$J,'บันทึกของเข้า-ออก'!$B:$B,สรุป!$C87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7" s="9">
        <f>AJ87+SUMIFS('บันทึกของเข้า-ออก'!$J:$J,'บันทึกของเข้า-ออก'!$B:$B,สรุป!$C87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7" s="9">
        <f>AK87+SUMIFS('บันทึกของเข้า-ออก'!$J:$J,'บันทึกของเข้า-ออก'!$B:$B,สรุป!$C87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7" s="26"/>
      <c r="T87" s="33"/>
      <c r="U87" s="34"/>
      <c r="V87" s="25" t="str">
        <f>C87</f>
        <v>มิเตอร์ไฟฟ้า 15 แอมป์</v>
      </c>
      <c r="W87" s="82">
        <v>2</v>
      </c>
      <c r="X87" s="35" t="s">
        <v>56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  <c r="AI87" s="26">
        <v>0</v>
      </c>
      <c r="AJ87" s="26">
        <v>0</v>
      </c>
      <c r="AK87" s="26">
        <v>0</v>
      </c>
      <c r="AL87" s="34"/>
    </row>
    <row r="88" spans="2:38" x14ac:dyDescent="0.3">
      <c r="B88" s="43" t="s">
        <v>104</v>
      </c>
      <c r="C88" s="6" t="s">
        <v>385</v>
      </c>
      <c r="D88" s="79"/>
      <c r="E88" s="6" t="s">
        <v>56</v>
      </c>
      <c r="F88" s="9"/>
      <c r="G88" s="9">
        <v>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26"/>
      <c r="T88" s="33"/>
      <c r="U88" s="34"/>
      <c r="V88" s="25" t="str">
        <f>C88</f>
        <v>มิเตอร์ไฟฟ้า 10 แอมป์</v>
      </c>
      <c r="W88" s="82"/>
      <c r="X88" s="35" t="s">
        <v>56</v>
      </c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34"/>
    </row>
    <row r="89" spans="2:38" x14ac:dyDescent="0.3">
      <c r="B89" s="43" t="s">
        <v>104</v>
      </c>
      <c r="C89" s="6" t="s">
        <v>150</v>
      </c>
      <c r="D89" s="79">
        <f t="shared" si="4"/>
        <v>0</v>
      </c>
      <c r="E89" s="6" t="s">
        <v>56</v>
      </c>
      <c r="F89" s="9">
        <f>Y89+SUMIFS('บันทึกของเข้า-ออก'!$J:$J,'บันทึกของเข้า-ออก'!$B:$B,สรุป!$C89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89" s="9">
        <f>Z89+SUMIFS('บันทึกของเข้า-ออก'!$J:$J,'บันทึกของเข้า-ออก'!$B:$B,สรุป!$C89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89" s="9">
        <f>AA89+SUMIFS('บันทึกของเข้า-ออก'!$J:$J,'บันทึกของเข้า-ออก'!$B:$B,สรุป!$C89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89" s="9">
        <f>AB89+SUMIFS('บันทึกของเข้า-ออก'!$J:$J,'บันทึกของเข้า-ออก'!$B:$B,สรุป!$C89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89" s="9">
        <f>AC89+SUMIFS('บันทึกของเข้า-ออก'!$J:$J,'บันทึกของเข้า-ออก'!$B:$B,สรุป!$C89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89" s="9">
        <f>AD89+SUMIFS('บันทึกของเข้า-ออก'!$J:$J,'บันทึกของเข้า-ออก'!$B:$B,สรุป!$C89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89" s="9">
        <f>AE89+SUMIFS('บันทึกของเข้า-ออก'!$J:$J,'บันทึกของเข้า-ออก'!$B:$B,สรุป!$C89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89" s="9">
        <f>AF89+SUMIFS('บันทึกของเข้า-ออก'!$J:$J,'บันทึกของเข้า-ออก'!$B:$B,สรุป!$C89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89" s="9">
        <f>AG89+SUMIFS('บันทึกของเข้า-ออก'!$J:$J,'บันทึกของเข้า-ออก'!$B:$B,สรุป!$C89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89" s="9">
        <f>AH89+SUMIFS('บันทึกของเข้า-ออก'!$J:$J,'บันทึกของเข้า-ออก'!$B:$B,สรุป!$C89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89" s="9">
        <f>AI89+SUMIFS('บันทึกของเข้า-ออก'!$J:$J,'บันทึกของเข้า-ออก'!$B:$B,สรุป!$C89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89" s="9">
        <f>AJ89+SUMIFS('บันทึกของเข้า-ออก'!$J:$J,'บันทึกของเข้า-ออก'!$B:$B,สรุป!$C89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89" s="9">
        <f>AK89+SUMIFS('บันทึกของเข้า-ออก'!$J:$J,'บันทึกของเข้า-ออก'!$B:$B,สรุป!$C89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89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89" s="26"/>
      <c r="T89" s="33"/>
      <c r="U89" s="34"/>
      <c r="V89" s="25" t="str">
        <f t="shared" si="8"/>
        <v>กล่องเบรคเกอร์พร้อมเบรคเกอร์</v>
      </c>
      <c r="W89" s="82">
        <v>2</v>
      </c>
      <c r="X89" s="35" t="s">
        <v>56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  <c r="AI89" s="26">
        <v>0</v>
      </c>
      <c r="AJ89" s="26">
        <v>0</v>
      </c>
      <c r="AK89" s="26">
        <v>0</v>
      </c>
      <c r="AL89" s="34"/>
    </row>
    <row r="90" spans="2:38" x14ac:dyDescent="0.3">
      <c r="B90" s="43" t="s">
        <v>104</v>
      </c>
      <c r="C90" s="6" t="s">
        <v>83</v>
      </c>
      <c r="D90" s="79">
        <f t="shared" si="4"/>
        <v>0</v>
      </c>
      <c r="E90" s="6" t="s">
        <v>54</v>
      </c>
      <c r="F90" s="9">
        <f>Y90+SUMIFS('บันทึกของเข้า-ออก'!$J:$J,'บันทึกของเข้า-ออก'!$B:$B,สรุป!$C90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0" s="9">
        <f>Z90+SUMIFS('บันทึกของเข้า-ออก'!$J:$J,'บันทึกของเข้า-ออก'!$B:$B,สรุป!$C90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0" s="9">
        <f>AA90+SUMIFS('บันทึกของเข้า-ออก'!$J:$J,'บันทึกของเข้า-ออก'!$B:$B,สรุป!$C90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0" s="9">
        <f>AB90+SUMIFS('บันทึกของเข้า-ออก'!$J:$J,'บันทึกของเข้า-ออก'!$B:$B,สรุป!$C90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0" s="9">
        <f>AC90+SUMIFS('บันทึกของเข้า-ออก'!$J:$J,'บันทึกของเข้า-ออก'!$B:$B,สรุป!$C90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0" s="9">
        <f>AD90+SUMIFS('บันทึกของเข้า-ออก'!$J:$J,'บันทึกของเข้า-ออก'!$B:$B,สรุป!$C90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0" s="9">
        <f>AE90+SUMIFS('บันทึกของเข้า-ออก'!$J:$J,'บันทึกของเข้า-ออก'!$B:$B,สรุป!$C90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0" s="9">
        <f>AF90+SUMIFS('บันทึกของเข้า-ออก'!$J:$J,'บันทึกของเข้า-ออก'!$B:$B,สรุป!$C90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0" s="9">
        <f>AG90+SUMIFS('บันทึกของเข้า-ออก'!$J:$J,'บันทึกของเข้า-ออก'!$B:$B,สรุป!$C90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0" s="9">
        <f>AH90+SUMIFS('บันทึกของเข้า-ออก'!$J:$J,'บันทึกของเข้า-ออก'!$B:$B,สรุป!$C90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0" s="9">
        <f>AI90+SUMIFS('บันทึกของเข้า-ออก'!$J:$J,'บันทึกของเข้า-ออก'!$B:$B,สรุป!$C90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0" s="9">
        <f>AJ90+SUMIFS('บันทึกของเข้า-ออก'!$J:$J,'บันทึกของเข้า-ออก'!$B:$B,สรุป!$C90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0" s="9">
        <f>AK90+SUMIFS('บันทึกของเข้า-ออก'!$J:$J,'บันทึกของเข้า-ออก'!$B:$B,สรุป!$C90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0" s="26"/>
      <c r="T90" s="33"/>
      <c r="U90" s="34"/>
      <c r="V90" s="25" t="str">
        <f t="shared" si="8"/>
        <v>ขาหลอด 40 w.</v>
      </c>
      <c r="W90" s="82">
        <v>11</v>
      </c>
      <c r="X90" s="35" t="s">
        <v>54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34"/>
    </row>
    <row r="91" spans="2:38" x14ac:dyDescent="0.3">
      <c r="B91" s="43" t="s">
        <v>104</v>
      </c>
      <c r="C91" s="6" t="s">
        <v>71</v>
      </c>
      <c r="D91" s="79">
        <f t="shared" si="4"/>
        <v>0</v>
      </c>
      <c r="E91" s="6" t="s">
        <v>58</v>
      </c>
      <c r="F91" s="9">
        <f>Y91+SUMIFS('บันทึกของเข้า-ออก'!$J:$J,'บันทึกของเข้า-ออก'!$B:$B,สรุป!$C91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1" s="9">
        <f>Z91+SUMIFS('บันทึกของเข้า-ออก'!$J:$J,'บันทึกของเข้า-ออก'!$B:$B,สรุป!$C91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1" s="9">
        <f>AA91+SUMIFS('บันทึกของเข้า-ออก'!$J:$J,'บันทึกของเข้า-ออก'!$B:$B,สรุป!$C91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1" s="9">
        <f>AB91+SUMIFS('บันทึกของเข้า-ออก'!$J:$J,'บันทึกของเข้า-ออก'!$B:$B,สรุป!$C91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1" s="9">
        <f>AC91+SUMIFS('บันทึกของเข้า-ออก'!$J:$J,'บันทึกของเข้า-ออก'!$B:$B,สรุป!$C91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1" s="9">
        <f>AD91+SUMIFS('บันทึกของเข้า-ออก'!$J:$J,'บันทึกของเข้า-ออก'!$B:$B,สรุป!$C91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1" s="9">
        <f>AE91+SUMIFS('บันทึกของเข้า-ออก'!$J:$J,'บันทึกของเข้า-ออก'!$B:$B,สรุป!$C91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1" s="9">
        <f>AF91+SUMIFS('บันทึกของเข้า-ออก'!$J:$J,'บันทึกของเข้า-ออก'!$B:$B,สรุป!$C91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1" s="9">
        <f>AG91+SUMIFS('บันทึกของเข้า-ออก'!$J:$J,'บันทึกของเข้า-ออก'!$B:$B,สรุป!$C91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1" s="9">
        <f>AH91+SUMIFS('บันทึกของเข้า-ออก'!$J:$J,'บันทึกของเข้า-ออก'!$B:$B,สรุป!$C91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1" s="9">
        <f>AI91+SUMIFS('บันทึกของเข้า-ออก'!$J:$J,'บันทึกของเข้า-ออก'!$B:$B,สรุป!$C91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1" s="9">
        <f>AJ91+SUMIFS('บันทึกของเข้า-ออก'!$J:$J,'บันทึกของเข้า-ออก'!$B:$B,สรุป!$C91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1" s="9">
        <f>AK91+SUMIFS('บันทึกของเข้า-ออก'!$J:$J,'บันทึกของเข้า-ออก'!$B:$B,สรุป!$C91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1" s="26"/>
      <c r="T91" s="33"/>
      <c r="U91" s="34"/>
      <c r="V91" s="25" t="str">
        <f t="shared" si="8"/>
        <v>ตู้พลาสติค 10*12</v>
      </c>
      <c r="W91" s="82">
        <v>0</v>
      </c>
      <c r="X91" s="35" t="s">
        <v>58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  <c r="AK91" s="26">
        <v>0</v>
      </c>
      <c r="AL91" s="34"/>
    </row>
    <row r="92" spans="2:38" x14ac:dyDescent="0.3">
      <c r="B92" s="43" t="s">
        <v>104</v>
      </c>
      <c r="C92" s="6" t="s">
        <v>141</v>
      </c>
      <c r="D92" s="79">
        <f t="shared" si="4"/>
        <v>8</v>
      </c>
      <c r="E92" s="6" t="s">
        <v>80</v>
      </c>
      <c r="F92" s="9">
        <f>Y92+SUMIFS('บันทึกของเข้า-ออก'!$J:$J,'บันทึกของเข้า-ออก'!$B:$B,สรุป!$C92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2" s="9">
        <f>Z92+SUMIFS('บันทึกของเข้า-ออก'!$J:$J,'บันทึกของเข้า-ออก'!$B:$B,สรุป!$C92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G$5,'บันทึกของเข้า-ออก'!$D:$D,"&gt;="&amp;สรุป!$F$2,'บันทึกของเข้า-ออก'!$D:$D,"&lt;="&amp;สรุป!$G$2)</f>
        <v>-1</v>
      </c>
      <c r="H92" s="9">
        <f>AA92+SUMIFS('บันทึกของเข้า-ออก'!$J:$J,'บันทึกของเข้า-ออก'!$B:$B,สรุป!$C92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H$5,'บันทึกของเข้า-ออก'!$D:$D,"&gt;="&amp;สรุป!$F$2,'บันทึกของเข้า-ออก'!$D:$D,"&lt;="&amp;สรุป!$G$2)</f>
        <v>6</v>
      </c>
      <c r="I92" s="9">
        <f>AB92+SUMIFS('บันทึกของเข้า-ออก'!$J:$J,'บันทึกของเข้า-ออก'!$B:$B,สรุป!$C92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2" s="9">
        <f>AC92+SUMIFS('บันทึกของเข้า-ออก'!$J:$J,'บันทึกของเข้า-ออก'!$B:$B,สรุป!$C92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J$5,'บันทึกของเข้า-ออก'!$D:$D,"&gt;="&amp;สรุป!$F$2,'บันทึกของเข้า-ออก'!$D:$D,"&lt;="&amp;สรุป!$G$2)</f>
        <v>2</v>
      </c>
      <c r="K92" s="9">
        <f>AD92+SUMIFS('บันทึกของเข้า-ออก'!$J:$J,'บันทึกของเข้า-ออก'!$B:$B,สรุป!$C92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2" s="9">
        <f>AE92+SUMIFS('บันทึกของเข้า-ออก'!$J:$J,'บันทึกของเข้า-ออก'!$B:$B,สรุป!$C92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2" s="9">
        <f>AF92+SUMIFS('บันทึกของเข้า-ออก'!$J:$J,'บันทึกของเข้า-ออก'!$B:$B,สรุป!$C92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2" s="9">
        <f>AG92+SUMIFS('บันทึกของเข้า-ออก'!$J:$J,'บันทึกของเข้า-ออก'!$B:$B,สรุป!$C92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2" s="9">
        <f>AH92+SUMIFS('บันทึกของเข้า-ออก'!$J:$J,'บันทึกของเข้า-ออก'!$B:$B,สรุป!$C92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2" s="9">
        <f>AI92+SUMIFS('บันทึกของเข้า-ออก'!$J:$J,'บันทึกของเข้า-ออก'!$B:$B,สรุป!$C92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2" s="9">
        <f>AJ92+SUMIFS('บันทึกของเข้า-ออก'!$J:$J,'บันทึกของเข้า-ออก'!$B:$B,สรุป!$C92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2" s="9">
        <f>AK92+SUMIFS('บันทึกของเข้า-ออก'!$J:$J,'บันทึกของเข้า-ออก'!$B:$B,สรุป!$C92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2" s="26"/>
      <c r="T92" s="33"/>
      <c r="U92" s="34"/>
      <c r="V92" s="25" t="str">
        <f t="shared" si="8"/>
        <v>ปลั๊กพ่วงสนาม</v>
      </c>
      <c r="W92" s="82">
        <v>7</v>
      </c>
      <c r="X92" s="35" t="s">
        <v>80</v>
      </c>
      <c r="Y92" s="26">
        <v>0</v>
      </c>
      <c r="Z92" s="26">
        <v>1</v>
      </c>
      <c r="AA92" s="26">
        <v>6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  <c r="AK92" s="26">
        <v>0</v>
      </c>
      <c r="AL92" s="34"/>
    </row>
    <row r="93" spans="2:38" x14ac:dyDescent="0.3">
      <c r="B93" s="43" t="s">
        <v>104</v>
      </c>
      <c r="C93" s="6" t="s">
        <v>69</v>
      </c>
      <c r="D93" s="79">
        <f t="shared" si="4"/>
        <v>4</v>
      </c>
      <c r="E93" s="6" t="s">
        <v>81</v>
      </c>
      <c r="F93" s="9"/>
      <c r="G93" s="9">
        <f>Z93+SUMIFS('บันทึกของเข้า-ออก'!$J:$J,'บันทึกของเข้า-ออก'!$B:$B,สรุป!$C93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3" s="9">
        <f>AA93+SUMIFS('บันทึกของเข้า-ออก'!$J:$J,'บันทึกของเข้า-ออก'!$B:$B,สรุป!$C93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3" s="9"/>
      <c r="J93" s="57">
        <f>AC93+SUMIFS('บันทึกของเข้า-ออก'!$J:$J,'บันทึกของเข้า-ออก'!$B:$B,สรุป!$C93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3" s="9">
        <f>AD93+SUMIFS('บันทึกของเข้า-ออก'!$J:$J,'บันทึกของเข้า-ออก'!$B:$B,สรุป!$C93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3" s="9">
        <f>AE93+SUMIFS('บันทึกของเข้า-ออก'!$J:$J,'บันทึกของเข้า-ออก'!$B:$B,สรุป!$C93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3" s="9">
        <f>AF93+SUMIFS('บันทึกของเข้า-ออก'!$J:$J,'บันทึกของเข้า-ออก'!$B:$B,สรุป!$C93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3" s="9">
        <f>AG93+SUMIFS('บันทึกของเข้า-ออก'!$J:$J,'บันทึกของเข้า-ออก'!$B:$B,สรุป!$C93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3" s="9">
        <f>AH93+SUMIFS('บันทึกของเข้า-ออก'!$J:$J,'บันทึกของเข้า-ออก'!$B:$B,สรุป!$C93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O$5,'บันทึกของเข้า-ออก'!$D:$D,"&gt;="&amp;สรุป!$F$2,'บันทึกของเข้า-ออก'!$D:$D,"&lt;="&amp;สรุป!$G$2)</f>
        <v>4</v>
      </c>
      <c r="P93" s="9">
        <f>AI93+SUMIFS('บันทึกของเข้า-ออก'!$J:$J,'บันทึกของเข้า-ออก'!$B:$B,สรุป!$C93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3" s="9">
        <f>AJ93+SUMIFS('บันทึกของเข้า-ออก'!$J:$J,'บันทึกของเข้า-ออก'!$B:$B,สรุป!$C93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3" s="9">
        <f>AK93+SUMIFS('บันทึกของเข้า-ออก'!$J:$J,'บันทึกของเข้า-ออก'!$B:$B,สรุป!$C93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3" s="26"/>
      <c r="T93" s="33"/>
      <c r="U93" s="34"/>
      <c r="V93" s="25" t="str">
        <f t="shared" si="8"/>
        <v>สปอร์ตไลท์ LED 400W</v>
      </c>
      <c r="W93" s="79">
        <v>6</v>
      </c>
      <c r="X93" s="35" t="s">
        <v>81</v>
      </c>
      <c r="Y93" s="26">
        <v>1</v>
      </c>
      <c r="Z93" s="26">
        <v>0</v>
      </c>
      <c r="AA93" s="26">
        <v>0</v>
      </c>
      <c r="AB93" s="26">
        <v>1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4</v>
      </c>
      <c r="AI93" s="26">
        <v>0</v>
      </c>
      <c r="AJ93" s="26">
        <v>0</v>
      </c>
      <c r="AK93" s="26">
        <v>0</v>
      </c>
      <c r="AL93" s="34"/>
    </row>
    <row r="94" spans="2:38" x14ac:dyDescent="0.3">
      <c r="B94" s="43" t="s">
        <v>104</v>
      </c>
      <c r="C94" s="6" t="s">
        <v>221</v>
      </c>
      <c r="D94" s="79">
        <f t="shared" si="4"/>
        <v>0</v>
      </c>
      <c r="E94" s="6" t="s">
        <v>80</v>
      </c>
      <c r="F94" s="9">
        <f>Y94+SUMIFS('บันทึกของเข้า-ออก'!$J:$J,'บันทึกของเข้า-ออก'!$B:$B,สรุป!$C94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4" s="9">
        <f>Z94+SUMIFS('บันทึกของเข้า-ออก'!$J:$J,'บันทึกของเข้า-ออก'!$B:$B,สรุป!$C94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4" s="9">
        <f>AA94+SUMIFS('บันทึกของเข้า-ออก'!$J:$J,'บันทึกของเข้า-ออก'!$B:$B,สรุป!$C94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4" s="9">
        <f>AB94+SUMIFS('บันทึกของเข้า-ออก'!$J:$J,'บันทึกของเข้า-ออก'!$B:$B,สรุป!$C94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4" s="57">
        <f>AC94+SUMIFS('บันทึกของเข้า-ออก'!$J:$J,'บันทึกของเข้า-ออก'!$B:$B,สรุป!$C94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4" s="9">
        <f>AD94+SUMIFS('บันทึกของเข้า-ออก'!$J:$J,'บันทึกของเข้า-ออก'!$B:$B,สรุป!$C94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4" s="9">
        <f>AE94+SUMIFS('บันทึกของเข้า-ออก'!$J:$J,'บันทึกของเข้า-ออก'!$B:$B,สรุป!$C94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4" s="9">
        <f>AF94+SUMIFS('บันทึกของเข้า-ออก'!$J:$J,'บันทึกของเข้า-ออก'!$B:$B,สรุป!$C94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4" s="9">
        <f>AG94+SUMIFS('บันทึกของเข้า-ออก'!$J:$J,'บันทึกของเข้า-ออก'!$B:$B,สรุป!$C94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4" s="9">
        <f>AH94+SUMIFS('บันทึกของเข้า-ออก'!$J:$J,'บันทึกของเข้า-ออก'!$B:$B,สรุป!$C94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4" s="9">
        <f>AI94+SUMIFS('บันทึกของเข้า-ออก'!$J:$J,'บันทึกของเข้า-ออก'!$B:$B,สรุป!$C94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4" s="9">
        <f>AJ94+SUMIFS('บันทึกของเข้า-ออก'!$J:$J,'บันทึกของเข้า-ออก'!$B:$B,สรุป!$C94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4" s="9">
        <f>AK94+SUMIFS('บันทึกของเข้า-ออก'!$J:$J,'บันทึกของเข้า-ออก'!$B:$B,สรุป!$C94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4" s="26"/>
      <c r="T94" s="33"/>
      <c r="U94" s="34"/>
      <c r="V94" s="25" t="str">
        <f t="shared" si="8"/>
        <v>สาย THW A*16 sqmm ยาว 20 ม.</v>
      </c>
      <c r="W94" s="83">
        <v>0</v>
      </c>
      <c r="X94" s="35" t="s">
        <v>80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  <c r="AK94" s="26">
        <v>0</v>
      </c>
      <c r="AL94" s="34"/>
    </row>
    <row r="95" spans="2:38" x14ac:dyDescent="0.3">
      <c r="B95" s="43" t="s">
        <v>104</v>
      </c>
      <c r="C95" s="6" t="s">
        <v>217</v>
      </c>
      <c r="D95" s="79">
        <f t="shared" si="4"/>
        <v>0</v>
      </c>
      <c r="E95" s="6" t="s">
        <v>80</v>
      </c>
      <c r="F95" s="9">
        <f>Y95+SUMIFS('บันทึกของเข้า-ออก'!$J:$J,'บันทึกของเข้า-ออก'!$B:$B,สรุป!$C95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5" s="9">
        <f>Z95+SUMIFS('บันทึกของเข้า-ออก'!$J:$J,'บันทึกของเข้า-ออก'!$B:$B,สรุป!$C95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5" s="9">
        <f>AA95+SUMIFS('บันทึกของเข้า-ออก'!$J:$J,'บันทึกของเข้า-ออก'!$B:$B,สรุป!$C95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5" s="9">
        <f>AB95+SUMIFS('บันทึกของเข้า-ออก'!$J:$J,'บันทึกของเข้า-ออก'!$B:$B,สรุป!$C95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5" s="57">
        <f>AC95+SUMIFS('บันทึกของเข้า-ออก'!$J:$J,'บันทึกของเข้า-ออก'!$B:$B,สรุป!$C95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5" s="9">
        <f>AD95+SUMIFS('บันทึกของเข้า-ออก'!$J:$J,'บันทึกของเข้า-ออก'!$B:$B,สรุป!$C95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5" s="9">
        <f>AE95+SUMIFS('บันทึกของเข้า-ออก'!$J:$J,'บันทึกของเข้า-ออก'!$B:$B,สรุป!$C95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5" s="9">
        <f>AF95+SUMIFS('บันทึกของเข้า-ออก'!$J:$J,'บันทึกของเข้า-ออก'!$B:$B,สรุป!$C95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5" s="9">
        <f>AG95+SUMIFS('บันทึกของเข้า-ออก'!$J:$J,'บันทึกของเข้า-ออก'!$B:$B,สรุป!$C95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5" s="9">
        <f>AH95+SUMIFS('บันทึกของเข้า-ออก'!$J:$J,'บันทึกของเข้า-ออก'!$B:$B,สรุป!$C95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5" s="9">
        <f>AI95+SUMIFS('บันทึกของเข้า-ออก'!$J:$J,'บันทึกของเข้า-ออก'!$B:$B,สรุป!$C95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5" s="9">
        <f>AJ95+SUMIFS('บันทึกของเข้า-ออก'!$J:$J,'บันทึกของเข้า-ออก'!$B:$B,สรุป!$C95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5" s="9">
        <f>AK95+SUMIFS('บันทึกของเข้า-ออก'!$J:$J,'บันทึกของเข้า-ออก'!$B:$B,สรุป!$C95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5" s="26"/>
      <c r="T95" s="33"/>
      <c r="U95" s="34"/>
      <c r="V95" s="25" t="str">
        <f t="shared" si="8"/>
        <v>สาย THW A*20 sqmm ยาว 20 ม.</v>
      </c>
      <c r="W95" s="83" t="s">
        <v>387</v>
      </c>
      <c r="X95" s="35" t="s">
        <v>80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0</v>
      </c>
      <c r="AH95" s="26">
        <v>0</v>
      </c>
      <c r="AI95" s="26">
        <v>0</v>
      </c>
      <c r="AJ95" s="26">
        <v>0</v>
      </c>
      <c r="AK95" s="26">
        <v>0</v>
      </c>
      <c r="AL95" s="34"/>
    </row>
    <row r="96" spans="2:38" x14ac:dyDescent="0.3">
      <c r="B96" s="43" t="s">
        <v>104</v>
      </c>
      <c r="C96" s="6" t="s">
        <v>218</v>
      </c>
      <c r="D96" s="79">
        <f t="shared" ref="D96:D161" si="9">SUMIF(F96:T96,"&gt;0")</f>
        <v>0</v>
      </c>
      <c r="E96" s="6" t="s">
        <v>80</v>
      </c>
      <c r="F96" s="9">
        <f>Y96+SUMIFS('บันทึกของเข้า-ออก'!$J:$J,'บันทึกของเข้า-ออก'!$B:$B,สรุป!$C96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6" s="9">
        <f>Z96+SUMIFS('บันทึกของเข้า-ออก'!$J:$J,'บันทึกของเข้า-ออก'!$B:$B,สรุป!$C96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6" s="9">
        <f>AA96+SUMIFS('บันทึกของเข้า-ออก'!$J:$J,'บันทึกของเข้า-ออก'!$B:$B,สรุป!$C96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6" s="9">
        <f>AB96+SUMIFS('บันทึกของเข้า-ออก'!$J:$J,'บันทึกของเข้า-ออก'!$B:$B,สรุป!$C96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6" s="9">
        <f>AC96+SUMIFS('บันทึกของเข้า-ออก'!$J:$J,'บันทึกของเข้า-ออก'!$B:$B,สรุป!$C96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6" s="9">
        <f>AD96+SUMIFS('บันทึกของเข้า-ออก'!$J:$J,'บันทึกของเข้า-ออก'!$B:$B,สรุป!$C96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6" s="9">
        <f>AE96+SUMIFS('บันทึกของเข้า-ออก'!$J:$J,'บันทึกของเข้า-ออก'!$B:$B,สรุป!$C96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6" s="9">
        <f>AF96+SUMIFS('บันทึกของเข้า-ออก'!$J:$J,'บันทึกของเข้า-ออก'!$B:$B,สรุป!$C96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6" s="9">
        <f>AG96+SUMIFS('บันทึกของเข้า-ออก'!$J:$J,'บันทึกของเข้า-ออก'!$B:$B,สรุป!$C96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6" s="9">
        <f>AH96+SUMIFS('บันทึกของเข้า-ออก'!$J:$J,'บันทึกของเข้า-ออก'!$B:$B,สรุป!$C96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6" s="9">
        <f>AI96+SUMIFS('บันทึกของเข้า-ออก'!$J:$J,'บันทึกของเข้า-ออก'!$B:$B,สรุป!$C96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6" s="9">
        <f>AJ96+SUMIFS('บันทึกของเข้า-ออก'!$J:$J,'บันทึกของเข้า-ออก'!$B:$B,สรุป!$C96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6" s="9">
        <f>AK96+SUMIFS('บันทึกของเข้า-ออก'!$J:$J,'บันทึกของเข้า-ออก'!$B:$B,สรุป!$C96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6" s="26"/>
      <c r="T96" s="33"/>
      <c r="U96" s="34"/>
      <c r="V96" s="25" t="str">
        <f t="shared" si="8"/>
        <v>สาย THW A*25 sqmm ยาว 20 ม.</v>
      </c>
      <c r="W96" s="83">
        <v>3</v>
      </c>
      <c r="X96" s="35" t="s">
        <v>80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  <c r="AI96" s="26">
        <v>0</v>
      </c>
      <c r="AJ96" s="26">
        <v>0</v>
      </c>
      <c r="AK96" s="26">
        <v>0</v>
      </c>
      <c r="AL96" s="34"/>
    </row>
    <row r="97" spans="2:38" x14ac:dyDescent="0.3">
      <c r="B97" s="43" t="s">
        <v>104</v>
      </c>
      <c r="C97" s="6" t="s">
        <v>219</v>
      </c>
      <c r="D97" s="79">
        <f t="shared" si="9"/>
        <v>0</v>
      </c>
      <c r="E97" s="6" t="s">
        <v>80</v>
      </c>
      <c r="F97" s="9">
        <f>Y97+SUMIFS('บันทึกของเข้า-ออก'!$J:$J,'บันทึกของเข้า-ออก'!$B:$B,สรุป!$C97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7" s="9">
        <f>Z97+SUMIFS('บันทึกของเข้า-ออก'!$J:$J,'บันทึกของเข้า-ออก'!$B:$B,สรุป!$C97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7" s="9">
        <f>AA97+SUMIFS('บันทึกของเข้า-ออก'!$J:$J,'บันทึกของเข้า-ออก'!$B:$B,สรุป!$C97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7" s="9">
        <f>AB97+SUMIFS('บันทึกของเข้า-ออก'!$J:$J,'บันทึกของเข้า-ออก'!$B:$B,สรุป!$C97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7" s="9">
        <f>AC97+SUMIFS('บันทึกของเข้า-ออก'!$J:$J,'บันทึกของเข้า-ออก'!$B:$B,สรุป!$C97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7" s="9">
        <f>AD97+SUMIFS('บันทึกของเข้า-ออก'!$J:$J,'บันทึกของเข้า-ออก'!$B:$B,สรุป!$C97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7" s="9">
        <f>AE97+SUMIFS('บันทึกของเข้า-ออก'!$J:$J,'บันทึกของเข้า-ออก'!$B:$B,สรุป!$C97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7" s="9">
        <f>AF97+SUMIFS('บันทึกของเข้า-ออก'!$J:$J,'บันทึกของเข้า-ออก'!$B:$B,สรุป!$C97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7" s="9">
        <f>AG97+SUMIFS('บันทึกของเข้า-ออก'!$J:$J,'บันทึกของเข้า-ออก'!$B:$B,สรุป!$C97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7" s="9">
        <f>AH97+SUMIFS('บันทึกของเข้า-ออก'!$J:$J,'บันทึกของเข้า-ออก'!$B:$B,สรุป!$C97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7" s="9">
        <f>AI97+SUMIFS('บันทึกของเข้า-ออก'!$J:$J,'บันทึกของเข้า-ออก'!$B:$B,สรุป!$C97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7" s="9">
        <f>AJ97+SUMIFS('บันทึกของเข้า-ออก'!$J:$J,'บันทึกของเข้า-ออก'!$B:$B,สรุป!$C97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7" s="9">
        <f>AK97+SUMIFS('บันทึกของเข้า-ออก'!$J:$J,'บันทึกของเข้า-ออก'!$B:$B,สรุป!$C97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7" s="26"/>
      <c r="T97" s="33"/>
      <c r="U97" s="34"/>
      <c r="V97" s="25" t="str">
        <f t="shared" si="8"/>
        <v>สาย THW A*30 sqmm ยาว 20 ม.</v>
      </c>
      <c r="W97" s="83">
        <v>6</v>
      </c>
      <c r="X97" s="35" t="s">
        <v>80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0</v>
      </c>
      <c r="AH97" s="26">
        <v>0</v>
      </c>
      <c r="AI97" s="26">
        <v>0</v>
      </c>
      <c r="AJ97" s="26">
        <v>0</v>
      </c>
      <c r="AK97" s="26">
        <v>0</v>
      </c>
      <c r="AL97" s="34"/>
    </row>
    <row r="98" spans="2:38" x14ac:dyDescent="0.3">
      <c r="B98" s="43" t="s">
        <v>104</v>
      </c>
      <c r="C98" s="6" t="s">
        <v>220</v>
      </c>
      <c r="D98" s="79">
        <f t="shared" si="9"/>
        <v>0</v>
      </c>
      <c r="E98" s="6" t="s">
        <v>80</v>
      </c>
      <c r="F98" s="9">
        <f>Y98+SUMIFS('บันทึกของเข้า-ออก'!$J:$J,'บันทึกของเข้า-ออก'!$B:$B,สรุป!$C98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8" s="9">
        <f>Z98+SUMIFS('บันทึกของเข้า-ออก'!$J:$J,'บันทึกของเข้า-ออก'!$B:$B,สรุป!$C98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8" s="9">
        <f>AA98+SUMIFS('บันทึกของเข้า-ออก'!$J:$J,'บันทึกของเข้า-ออก'!$B:$B,สรุป!$C98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8" s="9">
        <f>AB98+SUMIFS('บันทึกของเข้า-ออก'!$J:$J,'บันทึกของเข้า-ออก'!$B:$B,สรุป!$C98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8" s="9">
        <f>AC98+SUMIFS('บันทึกของเข้า-ออก'!$J:$J,'บันทึกของเข้า-ออก'!$B:$B,สรุป!$C98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8" s="9">
        <f>AD98+SUMIFS('บันทึกของเข้า-ออก'!$J:$J,'บันทึกของเข้า-ออก'!$B:$B,สรุป!$C98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8" s="9">
        <f>AE98+SUMIFS('บันทึกของเข้า-ออก'!$J:$J,'บันทึกของเข้า-ออก'!$B:$B,สรุป!$C98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8" s="9">
        <f>AF98+SUMIFS('บันทึกของเข้า-ออก'!$J:$J,'บันทึกของเข้า-ออก'!$B:$B,สรุป!$C98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8" s="9">
        <f>AG98+SUMIFS('บันทึกของเข้า-ออก'!$J:$J,'บันทึกของเข้า-ออก'!$B:$B,สรุป!$C98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8" s="9">
        <f>AH98+SUMIFS('บันทึกของเข้า-ออก'!$J:$J,'บันทึกของเข้า-ออก'!$B:$B,สรุป!$C98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8" s="9">
        <f>AI98+SUMIFS('บันทึกของเข้า-ออก'!$J:$J,'บันทึกของเข้า-ออก'!$B:$B,สรุป!$C98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8" s="9">
        <f>AJ98+SUMIFS('บันทึกของเข้า-ออก'!$J:$J,'บันทึกของเข้า-ออก'!$B:$B,สรุป!$C98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8" s="9">
        <f>AK98+SUMIFS('บันทึกของเข้า-ออก'!$J:$J,'บันทึกของเข้า-ออก'!$B:$B,สรุป!$C98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8" s="26"/>
      <c r="T98" s="33"/>
      <c r="U98" s="34"/>
      <c r="V98" s="25" t="str">
        <f t="shared" si="8"/>
        <v>สาย THW A*50 sqmm ยาว 20 ม.</v>
      </c>
      <c r="W98" s="83">
        <v>2</v>
      </c>
      <c r="X98" s="35" t="s">
        <v>80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  <c r="AI98" s="26">
        <v>0</v>
      </c>
      <c r="AJ98" s="26">
        <v>0</v>
      </c>
      <c r="AK98" s="26">
        <v>0</v>
      </c>
      <c r="AL98" s="34"/>
    </row>
    <row r="99" spans="2:38" x14ac:dyDescent="0.3">
      <c r="B99" s="43" t="s">
        <v>104</v>
      </c>
      <c r="C99" s="6" t="s">
        <v>222</v>
      </c>
      <c r="D99" s="79">
        <f t="shared" si="9"/>
        <v>0</v>
      </c>
      <c r="E99" s="6" t="s">
        <v>80</v>
      </c>
      <c r="F99" s="9">
        <f>Y99+SUMIFS('บันทึกของเข้า-ออก'!$J:$J,'บันทึกของเข้า-ออก'!$B:$B,สรุป!$C99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99" s="9">
        <f>Z99+SUMIFS('บันทึกของเข้า-ออก'!$J:$J,'บันทึกของเข้า-ออก'!$B:$B,สรุป!$C99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99" s="9">
        <f>AA99+SUMIFS('บันทึกของเข้า-ออก'!$J:$J,'บันทึกของเข้า-ออก'!$B:$B,สรุป!$C99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99" s="9">
        <f>AB99+SUMIFS('บันทึกของเข้า-ออก'!$J:$J,'บันทึกของเข้า-ออก'!$B:$B,สรุป!$C99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99" s="9">
        <f>AC99+SUMIFS('บันทึกของเข้า-ออก'!$J:$J,'บันทึกของเข้า-ออก'!$B:$B,สรุป!$C99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99" s="9">
        <f>AD99+SUMIFS('บันทึกของเข้า-ออก'!$J:$J,'บันทึกของเข้า-ออก'!$B:$B,สรุป!$C99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99" s="9">
        <f>AE99+SUMIFS('บันทึกของเข้า-ออก'!$J:$J,'บันทึกของเข้า-ออก'!$B:$B,สรุป!$C99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99" s="9">
        <f>AF99+SUMIFS('บันทึกของเข้า-ออก'!$J:$J,'บันทึกของเข้า-ออก'!$B:$B,สรุป!$C99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99" s="9">
        <f>AG99+SUMIFS('บันทึกของเข้า-ออก'!$J:$J,'บันทึกของเข้า-ออก'!$B:$B,สรุป!$C99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99" s="9">
        <f>AH99+SUMIFS('บันทึกของเข้า-ออก'!$J:$J,'บันทึกของเข้า-ออก'!$B:$B,สรุป!$C99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99" s="9">
        <f>AI99+SUMIFS('บันทึกของเข้า-ออก'!$J:$J,'บันทึกของเข้า-ออก'!$B:$B,สรุป!$C99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99" s="9">
        <f>AJ99+SUMIFS('บันทึกของเข้า-ออก'!$J:$J,'บันทึกของเข้า-ออก'!$B:$B,สรุป!$C99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99" s="9">
        <f>AK99+SUMIFS('บันทึกของเข้า-ออก'!$J:$J,'บันทึกของเข้า-ออก'!$B:$B,สรุป!$C99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99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99" s="26"/>
      <c r="T99" s="33"/>
      <c r="U99" s="34"/>
      <c r="V99" s="25" t="str">
        <f t="shared" si="8"/>
        <v>สาย THW A1*10 sqmm ยาว 100 ม.</v>
      </c>
      <c r="W99" s="83">
        <v>0</v>
      </c>
      <c r="X99" s="35" t="s">
        <v>80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  <c r="AD99" s="26">
        <v>0</v>
      </c>
      <c r="AE99" s="26">
        <v>0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34"/>
    </row>
    <row r="100" spans="2:38" x14ac:dyDescent="0.3">
      <c r="B100" s="43" t="s">
        <v>104</v>
      </c>
      <c r="C100" s="6" t="s">
        <v>210</v>
      </c>
      <c r="D100" s="79">
        <f t="shared" si="9"/>
        <v>13</v>
      </c>
      <c r="E100" s="6" t="s">
        <v>58</v>
      </c>
      <c r="F100" s="9">
        <f>Y100+SUMIFS('บันทึกของเข้า-ออก'!$J:$J,'บันทึกของเข้า-ออก'!$B:$B,สรุป!$C100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0" s="9">
        <f>Z100+SUMIFS('บันทึกของเข้า-ออก'!$J:$J,'บันทึกของเข้า-ออก'!$B:$B,สรุป!$C100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0" s="9">
        <f>AA100+SUMIFS('บันทึกของเข้า-ออก'!$J:$J,'บันทึกของเข้า-ออก'!$B:$B,สรุป!$C100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H$5,'บันทึกของเข้า-ออก'!$D:$D,"&gt;="&amp;สรุป!$F$2,'บันทึกของเข้า-ออก'!$D:$D,"&lt;="&amp;สรุป!$G$2)</f>
        <v>13</v>
      </c>
      <c r="I100" s="9">
        <f>AB100+SUMIFS('บันทึกของเข้า-ออก'!$J:$J,'บันทึกของเข้า-ออก'!$B:$B,สรุป!$C100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0" s="9">
        <f>AC100+SUMIFS('บันทึกของเข้า-ออก'!$J:$J,'บันทึกของเข้า-ออก'!$B:$B,สรุป!$C100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0" s="9">
        <f>AD100+SUMIFS('บันทึกของเข้า-ออก'!$J:$J,'บันทึกของเข้า-ออก'!$B:$B,สรุป!$C100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0" s="9">
        <f>AE100+SUMIFS('บันทึกของเข้า-ออก'!$J:$J,'บันทึกของเข้า-ออก'!$B:$B,สรุป!$C100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0" s="9">
        <f>AF100+SUMIFS('บันทึกของเข้า-ออก'!$J:$J,'บันทึกของเข้า-ออก'!$B:$B,สรุป!$C100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0" s="9">
        <f>AG100+SUMIFS('บันทึกของเข้า-ออก'!$J:$J,'บันทึกของเข้า-ออก'!$B:$B,สรุป!$C100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0" s="9">
        <f>AH100+SUMIFS('บันทึกของเข้า-ออก'!$J:$J,'บันทึกของเข้า-ออก'!$B:$B,สรุป!$C100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0" s="9">
        <f>AI100+SUMIFS('บันทึกของเข้า-ออก'!$J:$J,'บันทึกของเข้า-ออก'!$B:$B,สรุป!$C100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0" s="9">
        <f>AJ100+SUMIFS('บันทึกของเข้า-ออก'!$J:$J,'บันทึกของเข้า-ออก'!$B:$B,สรุป!$C100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0" s="9">
        <f>AK100+SUMIFS('บันทึกของเข้า-ออก'!$J:$J,'บันทึกของเข้า-ออก'!$B:$B,สรุป!$C100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0" s="26"/>
      <c r="T100" s="33"/>
      <c r="U100" s="34"/>
      <c r="V100" s="25" t="str">
        <f t="shared" si="8"/>
        <v>ทะวายกลมล็อคสาย</v>
      </c>
      <c r="W100" s="79">
        <v>13</v>
      </c>
      <c r="X100" s="35" t="s">
        <v>58</v>
      </c>
      <c r="Y100" s="26">
        <v>0</v>
      </c>
      <c r="Z100" s="26">
        <v>0</v>
      </c>
      <c r="AA100" s="26">
        <v>13</v>
      </c>
      <c r="AB100" s="26">
        <v>0</v>
      </c>
      <c r="AC100" s="26">
        <v>0</v>
      </c>
      <c r="AD100" s="26">
        <v>0</v>
      </c>
      <c r="AE100" s="26">
        <v>0</v>
      </c>
      <c r="AF100" s="26">
        <v>0</v>
      </c>
      <c r="AG100" s="26">
        <v>0</v>
      </c>
      <c r="AH100" s="26">
        <v>0</v>
      </c>
      <c r="AI100" s="26">
        <v>0</v>
      </c>
      <c r="AJ100" s="26">
        <v>0</v>
      </c>
      <c r="AK100" s="26">
        <v>0</v>
      </c>
      <c r="AL100" s="34"/>
    </row>
    <row r="101" spans="2:38" x14ac:dyDescent="0.3">
      <c r="B101" s="43" t="s">
        <v>104</v>
      </c>
      <c r="C101" s="6" t="s">
        <v>211</v>
      </c>
      <c r="D101" s="79">
        <f t="shared" si="9"/>
        <v>3</v>
      </c>
      <c r="E101" s="6" t="s">
        <v>58</v>
      </c>
      <c r="F101" s="9">
        <f>Y101+SUMIFS('บันทึกของเข้า-ออก'!$J:$J,'บันทึกของเข้า-ออก'!$B:$B,สรุป!$C101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1" s="9">
        <f>Z101+SUMIFS('บันทึกของเข้า-ออก'!$J:$J,'บันทึกของเข้า-ออก'!$B:$B,สรุป!$C101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1" s="9">
        <f>AA101+SUMIFS('บันทึกของเข้า-ออก'!$J:$J,'บันทึกของเข้า-ออก'!$B:$B,สรุป!$C101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H$5,'บันทึกของเข้า-ออก'!$D:$D,"&gt;="&amp;สรุป!$F$2,'บันทึกของเข้า-ออก'!$D:$D,"&lt;="&amp;สรุป!$G$2)</f>
        <v>3</v>
      </c>
      <c r="I101" s="9">
        <f>AB101+SUMIFS('บันทึกของเข้า-ออก'!$J:$J,'บันทึกของเข้า-ออก'!$B:$B,สรุป!$C101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1" s="9">
        <f>AC101+SUMIFS('บันทึกของเข้า-ออก'!$J:$J,'บันทึกของเข้า-ออก'!$B:$B,สรุป!$C101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1" s="9">
        <f>AD101+SUMIFS('บันทึกของเข้า-ออก'!$J:$J,'บันทึกของเข้า-ออก'!$B:$B,สรุป!$C101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1" s="9">
        <f>AE101+SUMIFS('บันทึกของเข้า-ออก'!$J:$J,'บันทึกของเข้า-ออก'!$B:$B,สรุป!$C101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1" s="9">
        <f>AF101+SUMIFS('บันทึกของเข้า-ออก'!$J:$J,'บันทึกของเข้า-ออก'!$B:$B,สรุป!$C101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1" s="9">
        <f>AG101+SUMIFS('บันทึกของเข้า-ออก'!$J:$J,'บันทึกของเข้า-ออก'!$B:$B,สรุป!$C101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1" s="9">
        <f>AH101+SUMIFS('บันทึกของเข้า-ออก'!$J:$J,'บันทึกของเข้า-ออก'!$B:$B,สรุป!$C101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1" s="9">
        <f>AI101+SUMIFS('บันทึกของเข้า-ออก'!$J:$J,'บันทึกของเข้า-ออก'!$B:$B,สรุป!$C101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1" s="9">
        <f>AJ101+SUMIFS('บันทึกของเข้า-ออก'!$J:$J,'บันทึกของเข้า-ออก'!$B:$B,สรุป!$C101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1" s="9">
        <f>AK101+SUMIFS('บันทึกของเข้า-ออก'!$J:$J,'บันทึกของเข้า-ออก'!$B:$B,สรุป!$C101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1" s="26"/>
      <c r="T101" s="33"/>
      <c r="U101" s="34"/>
      <c r="V101" s="25" t="str">
        <f t="shared" si="8"/>
        <v>แล็คไฟฟ้า 4 ช่อง</v>
      </c>
      <c r="W101" s="79">
        <v>3</v>
      </c>
      <c r="X101" s="35" t="s">
        <v>58</v>
      </c>
      <c r="Y101" s="26">
        <v>0</v>
      </c>
      <c r="Z101" s="26">
        <v>0</v>
      </c>
      <c r="AA101" s="26">
        <v>3</v>
      </c>
      <c r="AB101" s="26">
        <v>0</v>
      </c>
      <c r="AC101" s="26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  <c r="AI101" s="26">
        <v>0</v>
      </c>
      <c r="AJ101" s="26">
        <v>0</v>
      </c>
      <c r="AK101" s="26">
        <v>0</v>
      </c>
      <c r="AL101" s="34"/>
    </row>
    <row r="102" spans="2:38" x14ac:dyDescent="0.3">
      <c r="B102" s="43" t="s">
        <v>101</v>
      </c>
      <c r="C102" s="6" t="s">
        <v>223</v>
      </c>
      <c r="D102" s="79">
        <f t="shared" si="9"/>
        <v>9</v>
      </c>
      <c r="E102" s="6" t="s">
        <v>60</v>
      </c>
      <c r="F102" s="9">
        <f>Y102+SUMIFS('บันทึกของเข้า-ออก'!$J:$J,'บันทึกของเข้า-ออก'!$B:$B,สรุป!$C102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2" s="9">
        <f>Z102+SUMIFS('บันทึกของเข้า-ออก'!$J:$J,'บันทึกของเข้า-ออก'!$B:$B,สรุป!$C102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2" s="9">
        <f>AA102+SUMIFS('บันทึกของเข้า-ออก'!$J:$J,'บันทึกของเข้า-ออก'!$B:$B,สรุป!$C102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2" s="9">
        <f>AB102+SUMIFS('บันทึกของเข้า-ออก'!$J:$J,'บันทึกของเข้า-ออก'!$B:$B,สรุป!$C102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2" s="9">
        <f>AC102+SUMIFS('บันทึกของเข้า-ออก'!$J:$J,'บันทึกของเข้า-ออก'!$B:$B,สรุป!$C102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2" s="9">
        <f>AD102+SUMIFS('บันทึกของเข้า-ออก'!$J:$J,'บันทึกของเข้า-ออก'!$B:$B,สรุป!$C102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2" s="9">
        <f>AE102+SUMIFS('บันทึกของเข้า-ออก'!$J:$J,'บันทึกของเข้า-ออก'!$B:$B,สรุป!$C102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2" s="9">
        <f>AF102+SUMIFS('บันทึกของเข้า-ออก'!$J:$J,'บันทึกของเข้า-ออก'!$B:$B,สรุป!$C102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M$5,'บันทึกของเข้า-ออก'!$D:$D,"&gt;="&amp;สรุป!$F$2,'บันทึกของเข้า-ออก'!$D:$D,"&lt;="&amp;สรุป!$G$2)</f>
        <v>9</v>
      </c>
      <c r="N102" s="9">
        <f>AG102+SUMIFS('บันทึกของเข้า-ออก'!$J:$J,'บันทึกของเข้า-ออก'!$B:$B,สรุป!$C102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2" s="9">
        <f>AH102+SUMIFS('บันทึกของเข้า-ออก'!$J:$J,'บันทึกของเข้า-ออก'!$B:$B,สรุป!$C102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2" s="9">
        <f>AI102+SUMIFS('บันทึกของเข้า-ออก'!$J:$J,'บันทึกของเข้า-ออก'!$B:$B,สรุป!$C102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2" s="9">
        <f>AJ102+SUMIFS('บันทึกของเข้า-ออก'!$J:$J,'บันทึกของเข้า-ออก'!$B:$B,สรุป!$C102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2" s="9">
        <f>AK102+SUMIFS('บันทึกของเข้า-ออก'!$J:$J,'บันทึกของเข้า-ออก'!$B:$B,สรุป!$C102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2" s="26"/>
      <c r="T102" s="33"/>
      <c r="U102" s="34"/>
      <c r="V102" s="25" t="str">
        <f t="shared" si="8"/>
        <v>แบบเสาเหล็ก 0.20 x 0.20 x 3.00 ม.</v>
      </c>
      <c r="W102" s="79">
        <v>9</v>
      </c>
      <c r="X102" s="35" t="s">
        <v>60</v>
      </c>
      <c r="Y102" s="26">
        <v>0</v>
      </c>
      <c r="Z102" s="26">
        <v>0</v>
      </c>
      <c r="AA102" s="26">
        <v>0</v>
      </c>
      <c r="AB102" s="26">
        <v>0</v>
      </c>
      <c r="AC102" s="26">
        <v>0</v>
      </c>
      <c r="AD102" s="26">
        <v>0</v>
      </c>
      <c r="AE102" s="26">
        <v>0</v>
      </c>
      <c r="AF102" s="26">
        <v>9</v>
      </c>
      <c r="AG102" s="26">
        <v>0</v>
      </c>
      <c r="AH102" s="26">
        <v>0</v>
      </c>
      <c r="AI102" s="26">
        <v>0</v>
      </c>
      <c r="AJ102" s="26">
        <v>0</v>
      </c>
      <c r="AK102" s="26">
        <v>0</v>
      </c>
      <c r="AL102" s="34"/>
    </row>
    <row r="103" spans="2:38" x14ac:dyDescent="0.3">
      <c r="B103" s="43" t="s">
        <v>101</v>
      </c>
      <c r="C103" s="6" t="s">
        <v>198</v>
      </c>
      <c r="D103" s="79">
        <f t="shared" si="9"/>
        <v>9</v>
      </c>
      <c r="E103" s="6" t="s">
        <v>59</v>
      </c>
      <c r="F103" s="9">
        <f>Y103+SUMIFS('บันทึกของเข้า-ออก'!$J:$J,'บันทึกของเข้า-ออก'!$B:$B,สรุป!$C103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3" s="9">
        <f>Z103+SUMIFS('บันทึกของเข้า-ออก'!$J:$J,'บันทึกของเข้า-ออก'!$B:$B,สรุป!$C103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3" s="9">
        <f>AA103+SUMIFS('บันทึกของเข้า-ออก'!$J:$J,'บันทึกของเข้า-ออก'!$B:$B,สรุป!$C103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3" s="9">
        <f>AB103+SUMIFS('บันทึกของเข้า-ออก'!$J:$J,'บันทึกของเข้า-ออก'!$B:$B,สรุป!$C103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I$5,'บันทึกของเข้า-ออก'!$D:$D,"&gt;="&amp;สรุป!$F$2,'บันทึกของเข้า-ออก'!$D:$D,"&lt;="&amp;สรุป!$G$2)</f>
        <v>9</v>
      </c>
      <c r="J103" s="9">
        <f>AC103+SUMIFS('บันทึกของเข้า-ออก'!$J:$J,'บันทึกของเข้า-ออก'!$B:$B,สรุป!$C103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3" s="9">
        <f>AD103+SUMIFS('บันทึกของเข้า-ออก'!$J:$J,'บันทึกของเข้า-ออก'!$B:$B,สรุป!$C103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3" s="9">
        <f>AE103+SUMIFS('บันทึกของเข้า-ออก'!$J:$J,'บันทึกของเข้า-ออก'!$B:$B,สรุป!$C103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3" s="9">
        <f>AF103+SUMIFS('บันทึกของเข้า-ออก'!$J:$J,'บันทึกของเข้า-ออก'!$B:$B,สรุป!$C103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3" s="9">
        <f>AG103+SUMIFS('บันทึกของเข้า-ออก'!$J:$J,'บันทึกของเข้า-ออก'!$B:$B,สรุป!$C103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3" s="9">
        <f>AH103+SUMIFS('บันทึกของเข้า-ออก'!$J:$J,'บันทึกของเข้า-ออก'!$B:$B,สรุป!$C103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3" s="9">
        <f>AI103+SUMIFS('บันทึกของเข้า-ออก'!$J:$J,'บันทึกของเข้า-ออก'!$B:$B,สรุป!$C103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3" s="9">
        <f>AJ103+SUMIFS('บันทึกของเข้า-ออก'!$J:$J,'บันทึกของเข้า-ออก'!$B:$B,สรุป!$C103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3" s="9">
        <f>AK103+SUMIFS('บันทึกของเข้า-ออก'!$J:$J,'บันทึกของเข้า-ออก'!$B:$B,สรุป!$C103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3" s="26"/>
      <c r="T103" s="33"/>
      <c r="U103" s="34"/>
      <c r="V103" s="25" t="str">
        <f t="shared" si="8"/>
        <v>แบบเหล็ก 0.10 x1.20 ม.</v>
      </c>
      <c r="W103" s="79">
        <v>9</v>
      </c>
      <c r="X103" s="35" t="s">
        <v>59</v>
      </c>
      <c r="Y103" s="26">
        <v>0</v>
      </c>
      <c r="Z103" s="26">
        <v>0</v>
      </c>
      <c r="AA103" s="26">
        <v>0</v>
      </c>
      <c r="AB103" s="26">
        <v>9</v>
      </c>
      <c r="AC103" s="26">
        <v>0</v>
      </c>
      <c r="AD103" s="26">
        <v>0</v>
      </c>
      <c r="AE103" s="26">
        <v>0</v>
      </c>
      <c r="AF103" s="26">
        <v>0</v>
      </c>
      <c r="AG103" s="26">
        <v>0</v>
      </c>
      <c r="AH103" s="26">
        <v>0</v>
      </c>
      <c r="AI103" s="26">
        <v>0</v>
      </c>
      <c r="AJ103" s="26">
        <v>0</v>
      </c>
      <c r="AK103" s="26">
        <v>0</v>
      </c>
      <c r="AL103" s="34"/>
    </row>
    <row r="104" spans="2:38" x14ac:dyDescent="0.3">
      <c r="B104" s="43" t="s">
        <v>101</v>
      </c>
      <c r="C104" s="6" t="s">
        <v>199</v>
      </c>
      <c r="D104" s="79">
        <f t="shared" si="9"/>
        <v>4</v>
      </c>
      <c r="E104" s="6" t="s">
        <v>59</v>
      </c>
      <c r="F104" s="9">
        <f>Y104+SUMIFS('บันทึกของเข้า-ออก'!$J:$J,'บันทึกของเข้า-ออก'!$B:$B,สรุป!$C104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4" s="9">
        <f>Z104+SUMIFS('บันทึกของเข้า-ออก'!$J:$J,'บันทึกของเข้า-ออก'!$B:$B,สรุป!$C104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4" s="9">
        <f>AA104+SUMIFS('บันทึกของเข้า-ออก'!$J:$J,'บันทึกของเข้า-ออก'!$B:$B,สรุป!$C104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4" s="9">
        <f>AB104+SUMIFS('บันทึกของเข้า-ออก'!$J:$J,'บันทึกของเข้า-ออก'!$B:$B,สรุป!$C104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I$5,'บันทึกของเข้า-ออก'!$D:$D,"&gt;="&amp;สรุป!$F$2,'บันทึกของเข้า-ออก'!$D:$D,"&lt;="&amp;สรุป!$G$2)</f>
        <v>4</v>
      </c>
      <c r="J104" s="9">
        <f>AC104+SUMIFS('บันทึกของเข้า-ออก'!$J:$J,'บันทึกของเข้า-ออก'!$B:$B,สรุป!$C104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4" s="9">
        <f>AD104+SUMIFS('บันทึกของเข้า-ออก'!$J:$J,'บันทึกของเข้า-ออก'!$B:$B,สรุป!$C104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4" s="9">
        <f>AE104+SUMIFS('บันทึกของเข้า-ออก'!$J:$J,'บันทึกของเข้า-ออก'!$B:$B,สรุป!$C104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4" s="9">
        <f>AF104+SUMIFS('บันทึกของเข้า-ออก'!$J:$J,'บันทึกของเข้า-ออก'!$B:$B,สรุป!$C104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4" s="9">
        <f>AG104+SUMIFS('บันทึกของเข้า-ออก'!$J:$J,'บันทึกของเข้า-ออก'!$B:$B,สรุป!$C104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4" s="9">
        <f>AH104+SUMIFS('บันทึกของเข้า-ออก'!$J:$J,'บันทึกของเข้า-ออก'!$B:$B,สรุป!$C104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4" s="9">
        <f>AI104+SUMIFS('บันทึกของเข้า-ออก'!$J:$J,'บันทึกของเข้า-ออก'!$B:$B,สรุป!$C104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4" s="9">
        <f>AJ104+SUMIFS('บันทึกของเข้า-ออก'!$J:$J,'บันทึกของเข้า-ออก'!$B:$B,สรุป!$C104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4" s="9">
        <f>AK104+SUMIFS('บันทึกของเข้า-ออก'!$J:$J,'บันทึกของเข้า-ออก'!$B:$B,สรุป!$C104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4" s="26"/>
      <c r="T104" s="33"/>
      <c r="U104" s="34"/>
      <c r="V104" s="25" t="str">
        <f t="shared" si="8"/>
        <v>แบบเหล็ก 0.10 x1.50 ม.</v>
      </c>
      <c r="W104" s="79">
        <v>4</v>
      </c>
      <c r="X104" s="35" t="s">
        <v>59</v>
      </c>
      <c r="Y104" s="26">
        <v>0</v>
      </c>
      <c r="Z104" s="26">
        <v>0</v>
      </c>
      <c r="AA104" s="26">
        <v>0</v>
      </c>
      <c r="AB104" s="26">
        <v>4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34"/>
    </row>
    <row r="105" spans="2:38" x14ac:dyDescent="0.3">
      <c r="B105" s="43" t="s">
        <v>101</v>
      </c>
      <c r="C105" s="6" t="s">
        <v>154</v>
      </c>
      <c r="D105" s="79">
        <f t="shared" si="9"/>
        <v>13</v>
      </c>
      <c r="E105" s="6" t="s">
        <v>59</v>
      </c>
      <c r="F105" s="9">
        <f>Y105+SUMIFS('บันทึกของเข้า-ออก'!$J:$J,'บันทึกของเข้า-ออก'!$B:$B,สรุป!$C105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5" s="9">
        <f>Z105+SUMIFS('บันทึกของเข้า-ออก'!$J:$J,'บันทึกของเข้า-ออก'!$B:$B,สรุป!$C105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5" s="9">
        <f>AA105+SUMIFS('บันทึกของเข้า-ออก'!$J:$J,'บันทึกของเข้า-ออก'!$B:$B,สรุป!$C105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5" s="9">
        <f>AB105+SUMIFS('บันทึกของเข้า-ออก'!$J:$J,'บันทึกของเข้า-ออก'!$B:$B,สรุป!$C105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5" s="9">
        <f>AC105+SUMIFS('บันทึกของเข้า-ออก'!$J:$J,'บันทึกของเข้า-ออก'!$B:$B,สรุป!$C105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5" s="9">
        <f>AD105+SUMIFS('บันทึกของเข้า-ออก'!$J:$J,'บันทึกของเข้า-ออก'!$B:$B,สรุป!$C105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5" s="9">
        <f>AE105+SUMIFS('บันทึกของเข้า-ออก'!$J:$J,'บันทึกของเข้า-ออก'!$B:$B,สรุป!$C105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5" s="9">
        <f>AF105+SUMIFS('บันทึกของเข้า-ออก'!$J:$J,'บันทึกของเข้า-ออก'!$B:$B,สรุป!$C105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5" s="9">
        <f>AG105+SUMIFS('บันทึกของเข้า-ออก'!$J:$J,'บันทึกของเข้า-ออก'!$B:$B,สรุป!$C105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N$5,'บันทึกของเข้า-ออก'!$D:$D,"&gt;="&amp;สรุป!$F$2,'บันทึกของเข้า-ออก'!$D:$D,"&lt;="&amp;สรุป!$G$2)</f>
        <v>7</v>
      </c>
      <c r="O105" s="9">
        <f>AH105+SUMIFS('บันทึกของเข้า-ออก'!$J:$J,'บันทึกของเข้า-ออก'!$B:$B,สรุป!$C105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O$5,'บันทึกของเข้า-ออก'!$D:$D,"&gt;="&amp;สรุป!$F$2,'บันทึกของเข้า-ออก'!$D:$D,"&lt;="&amp;สรุป!$G$2)</f>
        <v>6</v>
      </c>
      <c r="P105" s="9">
        <f>AI105+SUMIFS('บันทึกของเข้า-ออก'!$J:$J,'บันทึกของเข้า-ออก'!$B:$B,สรุป!$C105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5" s="9">
        <f>AJ105+SUMIFS('บันทึกของเข้า-ออก'!$J:$J,'บันทึกของเข้า-ออก'!$B:$B,สรุป!$C105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5" s="9">
        <f>AK105+SUMIFS('บันทึกของเข้า-ออก'!$J:$J,'บันทึกของเข้า-ออก'!$B:$B,สรุป!$C105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5" s="26"/>
      <c r="T105" s="33"/>
      <c r="U105" s="34"/>
      <c r="V105" s="25" t="str">
        <f t="shared" si="8"/>
        <v>แบบเหล็ก 0.15 x1.20 ม.</v>
      </c>
      <c r="W105" s="79">
        <v>13</v>
      </c>
      <c r="X105" s="35" t="s">
        <v>59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7</v>
      </c>
      <c r="AH105" s="26">
        <v>6</v>
      </c>
      <c r="AI105" s="26">
        <v>0</v>
      </c>
      <c r="AJ105" s="26">
        <v>0</v>
      </c>
      <c r="AK105" s="26">
        <v>0</v>
      </c>
      <c r="AL105" s="34"/>
    </row>
    <row r="106" spans="2:38" x14ac:dyDescent="0.3">
      <c r="B106" s="43" t="s">
        <v>101</v>
      </c>
      <c r="C106" s="6" t="s">
        <v>343</v>
      </c>
      <c r="D106" s="79">
        <f t="shared" si="9"/>
        <v>3</v>
      </c>
      <c r="E106" s="6" t="s">
        <v>59</v>
      </c>
      <c r="F106" s="9">
        <f>Y106+SUMIFS('บันทึกของเข้า-ออก'!$J:$J,'บันทึกของเข้า-ออก'!$B:$B,สรุป!$C106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6" s="9">
        <f>Z106+SUMIFS('บันทึกของเข้า-ออก'!$J:$J,'บันทึกของเข้า-ออก'!$B:$B,สรุป!$C106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6" s="9">
        <f>AA106+SUMIFS('บันทึกของเข้า-ออก'!$J:$J,'บันทึกของเข้า-ออก'!$B:$B,สรุป!$C106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6" s="9">
        <f>AB106+SUMIFS('บันทึกของเข้า-ออก'!$J:$J,'บันทึกของเข้า-ออก'!$B:$B,สรุป!$C106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6" s="9">
        <f>AC106+SUMIFS('บันทึกของเข้า-ออก'!$J:$J,'บันทึกของเข้า-ออก'!$B:$B,สรุป!$C106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6" s="9">
        <f>AD106+SUMIFS('บันทึกของเข้า-ออก'!$J:$J,'บันทึกของเข้า-ออก'!$B:$B,สรุป!$C106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6" s="9">
        <f>AE106+SUMIFS('บันทึกของเข้า-ออก'!$J:$J,'บันทึกของเข้า-ออก'!$B:$B,สรุป!$C106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6" s="9">
        <f>AF106+SUMIFS('บันทึกของเข้า-ออก'!$J:$J,'บันทึกของเข้า-ออก'!$B:$B,สรุป!$C106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6" s="9">
        <f>AG106+SUMIFS('บันทึกของเข้า-ออก'!$J:$J,'บันทึกของเข้า-ออก'!$B:$B,สรุป!$C106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6" s="9">
        <f>AH106+SUMIFS('บันทึกของเข้า-ออก'!$J:$J,'บันทึกของเข้า-ออก'!$B:$B,สรุป!$C106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O$5,'บันทึกของเข้า-ออก'!$D:$D,"&gt;="&amp;สรุป!$F$2,'บันทึกของเข้า-ออก'!$D:$D,"&lt;="&amp;สรุป!$G$2)</f>
        <v>3</v>
      </c>
      <c r="P106" s="9">
        <f>AI106+SUMIFS('บันทึกของเข้า-ออก'!$J:$J,'บันทึกของเข้า-ออก'!$B:$B,สรุป!$C106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6" s="9">
        <f>AJ106+SUMIFS('บันทึกของเข้า-ออก'!$J:$J,'บันทึกของเข้า-ออก'!$B:$B,สรุป!$C106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6" s="9">
        <f>AK106+SUMIFS('บันทึกของเข้า-ออก'!$J:$J,'บันทึกของเข้า-ออก'!$B:$B,สรุป!$C106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6" s="26"/>
      <c r="T106" s="33"/>
      <c r="U106" s="34"/>
      <c r="V106" s="6" t="s">
        <v>343</v>
      </c>
      <c r="W106" s="79">
        <v>3</v>
      </c>
      <c r="X106" s="35"/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/>
      <c r="AH106" s="26">
        <v>3</v>
      </c>
      <c r="AI106" s="26">
        <v>0</v>
      </c>
      <c r="AJ106" s="26">
        <v>0</v>
      </c>
      <c r="AK106" s="26">
        <v>0</v>
      </c>
      <c r="AL106" s="34"/>
    </row>
    <row r="107" spans="2:38" x14ac:dyDescent="0.3">
      <c r="B107" s="43" t="s">
        <v>101</v>
      </c>
      <c r="C107" s="6" t="s">
        <v>28</v>
      </c>
      <c r="D107" s="79">
        <f t="shared" si="9"/>
        <v>5</v>
      </c>
      <c r="E107" s="6" t="s">
        <v>59</v>
      </c>
      <c r="F107" s="9">
        <f>Y107+SUMIFS('บันทึกของเข้า-ออก'!$J:$J,'บันทึกของเข้า-ออก'!$B:$B,สรุป!$C107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07" s="9">
        <f>Z107+SUMIFS('บันทึกของเข้า-ออก'!$J:$J,'บันทึกของเข้า-ออก'!$B:$B,สรุป!$C107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7" s="9">
        <f>AA107+SUMIFS('บันทึกของเข้า-ออก'!$J:$J,'บันทึกของเข้า-ออก'!$B:$B,สรุป!$C107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7" s="9">
        <f>AB107+SUMIFS('บันทึกของเข้า-ออก'!$J:$J,'บันทึกของเข้า-ออก'!$B:$B,สรุป!$C107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7" s="9">
        <f>AC107+SUMIFS('บันทึกของเข้า-ออก'!$J:$J,'บันทึกของเข้า-ออก'!$B:$B,สรุป!$C107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7" s="9">
        <f>AD107+SUMIFS('บันทึกของเข้า-ออก'!$J:$J,'บันทึกของเข้า-ออก'!$B:$B,สรุป!$C107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7" s="9">
        <f>AE107+SUMIFS('บันทึกของเข้า-ออก'!$J:$J,'บันทึกของเข้า-ออก'!$B:$B,สรุป!$C107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7" s="9">
        <f>AF107+SUMIFS('บันทึกของเข้า-ออก'!$J:$J,'บันทึกของเข้า-ออก'!$B:$B,สรุป!$C107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7" s="9">
        <f>AG107+SUMIFS('บันทึกของเข้า-ออก'!$J:$J,'บันทึกของเข้า-ออก'!$B:$B,สรุป!$C107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7" s="9">
        <f>AH107+SUMIFS('บันทึกของเข้า-ออก'!$J:$J,'บันทึกของเข้า-ออก'!$B:$B,สรุป!$C107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O$5,'บันทึกของเข้า-ออก'!$D:$D,"&gt;="&amp;สรุป!$F$2,'บันทึกของเข้า-ออก'!$D:$D,"&lt;="&amp;สรุป!$G$2)</f>
        <v>5</v>
      </c>
      <c r="P107" s="9">
        <f>AI107+SUMIFS('บันทึกของเข้า-ออก'!$J:$J,'บันทึกของเข้า-ออก'!$B:$B,สรุป!$C107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7" s="9">
        <f>AJ107+SUMIFS('บันทึกของเข้า-ออก'!$J:$J,'บันทึกของเข้า-ออก'!$B:$B,สรุป!$C107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7" s="9">
        <f>AK107+SUMIFS('บันทึกของเข้า-ออก'!$J:$J,'บันทึกของเข้า-ออก'!$B:$B,สรุป!$C107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7" s="26"/>
      <c r="T107" s="33"/>
      <c r="U107" s="34"/>
      <c r="V107" s="25" t="str">
        <f t="shared" ref="V107:V118" si="10">C107</f>
        <v>แบบเหล็ก 0.20 x1.20 ม.</v>
      </c>
      <c r="W107" s="44">
        <v>16</v>
      </c>
      <c r="X107" s="35" t="s">
        <v>59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0</v>
      </c>
      <c r="AH107" s="26">
        <v>5</v>
      </c>
      <c r="AI107" s="26">
        <v>0</v>
      </c>
      <c r="AJ107" s="26">
        <v>0</v>
      </c>
      <c r="AK107" s="26">
        <v>0</v>
      </c>
      <c r="AL107" s="34"/>
    </row>
    <row r="108" spans="2:38" x14ac:dyDescent="0.3">
      <c r="B108" s="43" t="s">
        <v>101</v>
      </c>
      <c r="C108" s="6" t="s">
        <v>200</v>
      </c>
      <c r="D108" s="79">
        <f t="shared" si="9"/>
        <v>42</v>
      </c>
      <c r="E108" s="6" t="s">
        <v>59</v>
      </c>
      <c r="F108" s="9">
        <f>Y108+SUMIFS('บันทึกของเข้า-ออก'!$J:$J,'บันทึกของเข้า-ออก'!$B:$B,สรุป!$C108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F$5,'บันทึกของเข้า-ออก'!$D:$D,"&gt;="&amp;สรุป!$F$2,'บันทึกของเข้า-ออก'!$D:$D,"&lt;="&amp;สรุป!$G$2)</f>
        <v>20</v>
      </c>
      <c r="G108" s="9">
        <f>Z108+SUMIFS('บันทึกของเข้า-ออก'!$J:$J,'บันทึกของเข้า-ออก'!$B:$B,สรุป!$C108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8" s="9">
        <f>AA108+SUMIFS('บันทึกของเข้า-ออก'!$J:$J,'บันทึกของเข้า-ออก'!$B:$B,สรุป!$C108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8" s="9">
        <f>AB108+SUMIFS('บันทึกของเข้า-ออก'!$J:$J,'บันทึกของเข้า-ออก'!$B:$B,สรุป!$C108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8" s="9">
        <f>AC108+SUMIFS('บันทึกของเข้า-ออก'!$J:$J,'บันทึกของเข้า-ออก'!$B:$B,สรุป!$C108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8" s="9">
        <f>AD108+SUMIFS('บันทึกของเข้า-ออก'!$J:$J,'บันทึกของเข้า-ออก'!$B:$B,สรุป!$C108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8" s="9">
        <f>AE108+SUMIFS('บันทึกของเข้า-ออก'!$J:$J,'บันทึกของเข้า-ออก'!$B:$B,สรุป!$C108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8" s="9">
        <f>AF108+SUMIFS('บันทึกของเข้า-ออก'!$J:$J,'บันทึกของเข้า-ออก'!$B:$B,สรุป!$C108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8" s="9">
        <f>AG108+SUMIFS('บันทึกของเข้า-ออก'!$J:$J,'บันทึกของเข้า-ออก'!$B:$B,สรุป!$C108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N$5,'บันทึกของเข้า-ออก'!$D:$D,"&gt;="&amp;สรุป!$F$2,'บันทึกของเข้า-ออก'!$D:$D,"&lt;="&amp;สรุป!$G$2)</f>
        <v>-17</v>
      </c>
      <c r="O108" s="9">
        <f>AH108+SUMIFS('บันทึกของเข้า-ออก'!$J:$J,'บันทึกของเข้า-ออก'!$B:$B,สรุป!$C108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O$5,'บันทึกของเข้า-ออก'!$D:$D,"&gt;="&amp;สรุป!$F$2,'บันทึกของเข้า-ออก'!$D:$D,"&lt;="&amp;สรุป!$G$2)</f>
        <v>22</v>
      </c>
      <c r="P108" s="9">
        <f>AI108+SUMIFS('บันทึกของเข้า-ออก'!$J:$J,'บันทึกของเข้า-ออก'!$B:$B,สรุป!$C108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8" s="9">
        <f>AJ108+SUMIFS('บันทึกของเข้า-ออก'!$J:$J,'บันทึกของเข้า-ออก'!$B:$B,สรุป!$C108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8" s="9">
        <f>AK108+SUMIFS('บันทึกของเข้า-ออก'!$J:$J,'บันทึกของเข้า-ออก'!$B:$B,สรุป!$C108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8" s="26"/>
      <c r="T108" s="33"/>
      <c r="U108" s="34"/>
      <c r="V108" s="25" t="str">
        <f t="shared" si="10"/>
        <v>แบบเหล็ก 0.20 x1.50 ม.</v>
      </c>
      <c r="W108" s="44">
        <v>23</v>
      </c>
      <c r="X108" s="35" t="s">
        <v>59</v>
      </c>
      <c r="Y108" s="26">
        <v>0</v>
      </c>
      <c r="Z108" s="26">
        <v>0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0</v>
      </c>
      <c r="AG108" s="26">
        <v>3</v>
      </c>
      <c r="AH108" s="26">
        <v>22</v>
      </c>
      <c r="AI108" s="26">
        <v>0</v>
      </c>
      <c r="AJ108" s="26">
        <v>0</v>
      </c>
      <c r="AK108" s="26">
        <v>0</v>
      </c>
      <c r="AL108" s="34"/>
    </row>
    <row r="109" spans="2:38" x14ac:dyDescent="0.3">
      <c r="B109" s="43" t="s">
        <v>101</v>
      </c>
      <c r="C109" s="6" t="s">
        <v>201</v>
      </c>
      <c r="D109" s="79">
        <f t="shared" si="9"/>
        <v>16</v>
      </c>
      <c r="E109" s="6" t="s">
        <v>59</v>
      </c>
      <c r="F109" s="9">
        <f>Y109+SUMIFS('บันทึกของเข้า-ออก'!$J:$J,'บันทึกของเข้า-ออก'!$B:$B,สรุป!$C109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F$5,'บันทึกของเข้า-ออก'!$D:$D,"&gt;="&amp;สรุป!$F$2,'บันทึกของเข้า-ออก'!$D:$D,"&lt;="&amp;สรุป!$G$2)</f>
        <v>16</v>
      </c>
      <c r="G109" s="9">
        <f>Z109+SUMIFS('บันทึกของเข้า-ออก'!$J:$J,'บันทึกของเข้า-ออก'!$B:$B,สรุป!$C109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09" s="9">
        <f>AA109+SUMIFS('บันทึกของเข้า-ออก'!$J:$J,'บันทึกของเข้า-ออก'!$B:$B,สรุป!$C109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09" s="9">
        <f>AB109+SUMIFS('บันทึกของเข้า-ออก'!$J:$J,'บันทึกของเข้า-ออก'!$B:$B,สรุป!$C109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09" s="9">
        <f>AC109+SUMIFS('บันทึกของเข้า-ออก'!$J:$J,'บันทึกของเข้า-ออก'!$B:$B,สรุป!$C109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09" s="9">
        <f>AD109+SUMIFS('บันทึกของเข้า-ออก'!$J:$J,'บันทึกของเข้า-ออก'!$B:$B,สรุป!$C109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09" s="9">
        <f>AE109+SUMIFS('บันทึกของเข้า-ออก'!$J:$J,'บันทึกของเข้า-ออก'!$B:$B,สรุป!$C109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09" s="9">
        <f>AF109+SUMIFS('บันทึกของเข้า-ออก'!$J:$J,'บันทึกของเข้า-ออก'!$B:$B,สรุป!$C109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09" s="9">
        <f>AG109+SUMIFS('บันทึกของเข้า-ออก'!$J:$J,'บันทึกของเข้า-ออก'!$B:$B,สรุป!$C109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09" s="9">
        <f>AH109+SUMIFS('บันทึกของเข้า-ออก'!$J:$J,'บันทึกของเข้า-ออก'!$B:$B,สรุป!$C109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09" s="9">
        <f>AI109+SUMIFS('บันทึกของเข้า-ออก'!$J:$J,'บันทึกของเข้า-ออก'!$B:$B,สรุป!$C109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09" s="9">
        <f>AJ109+SUMIFS('บันทึกของเข้า-ออก'!$J:$J,'บันทึกของเข้า-ออก'!$B:$B,สรุป!$C109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09" s="9">
        <f>AK109+SUMIFS('บันทึกของเข้า-ออก'!$J:$J,'บันทึกของเข้า-ออก'!$B:$B,สรุป!$C109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109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09" s="26"/>
      <c r="T109" s="33"/>
      <c r="U109" s="34"/>
      <c r="V109" s="25" t="str">
        <f t="shared" si="10"/>
        <v>แบบเหล็ก 0.20 x1.80 ม.</v>
      </c>
      <c r="W109" s="44">
        <v>11</v>
      </c>
      <c r="X109" s="35" t="s">
        <v>59</v>
      </c>
      <c r="Y109" s="26">
        <v>16</v>
      </c>
      <c r="Z109" s="26">
        <v>0</v>
      </c>
      <c r="AA109" s="26">
        <v>0</v>
      </c>
      <c r="AB109" s="26"/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34"/>
    </row>
    <row r="110" spans="2:38" x14ac:dyDescent="0.3">
      <c r="B110" s="43" t="s">
        <v>101</v>
      </c>
      <c r="C110" s="6" t="s">
        <v>66</v>
      </c>
      <c r="D110" s="79">
        <f t="shared" si="9"/>
        <v>1</v>
      </c>
      <c r="E110" s="6" t="s">
        <v>59</v>
      </c>
      <c r="F110" s="9">
        <f>Y110+SUMIFS('บันทึกของเข้า-ออก'!$J:$J,'บันทึกของเข้า-ออก'!$B:$B,สรุป!$C110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0" s="9">
        <f>Z110+SUMIFS('บันทึกของเข้า-ออก'!$J:$J,'บันทึกของเข้า-ออก'!$B:$B,สรุป!$C110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0" s="9">
        <f>AA110+SUMIFS('บันทึกของเข้า-ออก'!$J:$J,'บันทึกของเข้า-ออก'!$B:$B,สรุป!$C110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0" s="9">
        <f>AB110+SUMIFS('บันทึกของเข้า-ออก'!$J:$J,'บันทึกของเข้า-ออก'!$B:$B,สรุป!$C110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0" s="9">
        <f>AC110+SUMIFS('บันทึกของเข้า-ออก'!$J:$J,'บันทึกของเข้า-ออก'!$B:$B,สรุป!$C110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0" s="9">
        <f>AD110+SUMIFS('บันทึกของเข้า-ออก'!$J:$J,'บันทึกของเข้า-ออก'!$B:$B,สรุป!$C110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0" s="9">
        <f>AE110+SUMIFS('บันทึกของเข้า-ออก'!$J:$J,'บันทึกของเข้า-ออก'!$B:$B,สรุป!$C110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0" s="9">
        <f>AF110+SUMIFS('บันทึกของเข้า-ออก'!$J:$J,'บันทึกของเข้า-ออก'!$B:$B,สรุป!$C110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0" s="9">
        <f>AG110+SUMIFS('บันทึกของเข้า-ออก'!$J:$J,'บันทึกของเข้า-ออก'!$B:$B,สรุป!$C110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0" s="9">
        <f>AH110+SUMIFS('บันทึกของเข้า-ออก'!$J:$J,'บันทึกของเข้า-ออก'!$B:$B,สรุป!$C110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110" s="9">
        <f>AI110+SUMIFS('บันทึกของเข้า-ออก'!$J:$J,'บันทึกของเข้า-ออก'!$B:$B,สรุป!$C110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0" s="9">
        <f>AJ110+SUMIFS('บันทึกของเข้า-ออก'!$J:$J,'บันทึกของเข้า-ออก'!$B:$B,สรุป!$C110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0" s="9">
        <f>AK110+SUMIFS('บันทึกของเข้า-ออก'!$J:$J,'บันทึกของเข้า-ออก'!$B:$B,สรุป!$C110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0" s="26"/>
      <c r="T110" s="33"/>
      <c r="U110" s="34"/>
      <c r="V110" s="25" t="str">
        <f t="shared" si="10"/>
        <v>แบบเหล็ก 0.25 x1.20 ม.</v>
      </c>
      <c r="W110" s="44">
        <v>0</v>
      </c>
      <c r="X110" s="35" t="s">
        <v>59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1</v>
      </c>
      <c r="AI110" s="26">
        <v>0</v>
      </c>
      <c r="AJ110" s="26">
        <v>0</v>
      </c>
      <c r="AK110" s="26">
        <v>0</v>
      </c>
      <c r="AL110" s="34"/>
    </row>
    <row r="111" spans="2:38" x14ac:dyDescent="0.3">
      <c r="B111" s="43" t="s">
        <v>101</v>
      </c>
      <c r="C111" s="6" t="s">
        <v>190</v>
      </c>
      <c r="D111" s="79">
        <f t="shared" si="9"/>
        <v>72</v>
      </c>
      <c r="E111" s="6" t="s">
        <v>59</v>
      </c>
      <c r="F111" s="9"/>
      <c r="G111" s="9">
        <f>Z111+SUMIFS('บันทึกของเข้า-ออก'!$J:$J,'บันทึกของเข้า-ออก'!$B:$B,สรุป!$C111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1" s="9">
        <f>AA111+SUMIFS('บันทึกของเข้า-ออก'!$J:$J,'บันทึกของเข้า-ออก'!$B:$B,สรุป!$C111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H$5,'บันทึกของเข้า-ออก'!$D:$D,"&gt;="&amp;สรุป!$F$2,'บันทึกของเข้า-ออก'!$D:$D,"&lt;="&amp;สรุป!$G$2)</f>
        <v>17</v>
      </c>
      <c r="I111" s="9">
        <f>AB111+SUMIFS('บันทึกของเข้า-ออก'!$J:$J,'บันทึกของเข้า-ออก'!$B:$B,สรุป!$C111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1" s="9">
        <f>AC111+SUMIFS('บันทึกของเข้า-ออก'!$J:$J,'บันทึกของเข้า-ออก'!$B:$B,สรุป!$C111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1" s="9">
        <f>AD111+SUMIFS('บันทึกของเข้า-ออก'!$J:$J,'บันทึกของเข้า-ออก'!$B:$B,สรุป!$C111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1" s="9">
        <f>AE111+SUMIFS('บันทึกของเข้า-ออก'!$J:$J,'บันทึกของเข้า-ออก'!$B:$B,สรุป!$C111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1" s="9">
        <f>AF111+SUMIFS('บันทึกของเข้า-ออก'!$J:$J,'บันทึกของเข้า-ออก'!$B:$B,สรุป!$C111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1" s="9">
        <v>17</v>
      </c>
      <c r="O111" s="9">
        <f>AH111+SUMIFS('บันทึกของเข้า-ออก'!$J:$J,'บันทึกของเข้า-ออก'!$B:$B,สรุป!$C111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O$5,'บันทึกของเข้า-ออก'!$D:$D,"&gt;="&amp;สรุป!$F$2,'บันทึกของเข้า-ออก'!$D:$D,"&lt;="&amp;สรุป!$G$2)</f>
        <v>38</v>
      </c>
      <c r="P111" s="9">
        <f>AI111+SUMIFS('บันทึกของเข้า-ออก'!$J:$J,'บันทึกของเข้า-ออก'!$B:$B,สรุป!$C111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1" s="9">
        <f>AJ111+SUMIFS('บันทึกของเข้า-ออก'!$J:$J,'บันทึกของเข้า-ออก'!$B:$B,สรุป!$C111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1" s="9">
        <f>AK111+SUMIFS('บันทึกของเข้า-ออก'!$J:$J,'บันทึกของเข้า-ออก'!$B:$B,สรุป!$C111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1" s="26"/>
      <c r="T111" s="33"/>
      <c r="U111" s="34"/>
      <c r="V111" s="25" t="str">
        <f t="shared" si="10"/>
        <v>แบบเหล็ก 0.25 x1.50 ม.</v>
      </c>
      <c r="W111" s="44">
        <v>72</v>
      </c>
      <c r="X111" s="35" t="s">
        <v>59</v>
      </c>
      <c r="Y111" s="26">
        <v>0</v>
      </c>
      <c r="Z111" s="26">
        <v>0</v>
      </c>
      <c r="AA111" s="26">
        <v>17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17</v>
      </c>
      <c r="AH111" s="26">
        <v>38</v>
      </c>
      <c r="AI111" s="26">
        <v>0</v>
      </c>
      <c r="AJ111" s="26">
        <v>0</v>
      </c>
      <c r="AK111" s="26">
        <v>0</v>
      </c>
      <c r="AL111" s="34"/>
    </row>
    <row r="112" spans="2:38" x14ac:dyDescent="0.3">
      <c r="B112" s="43" t="s">
        <v>101</v>
      </c>
      <c r="C112" s="6" t="s">
        <v>191</v>
      </c>
      <c r="D112" s="79">
        <f t="shared" si="9"/>
        <v>0</v>
      </c>
      <c r="E112" s="6" t="s">
        <v>59</v>
      </c>
      <c r="F112" s="9">
        <f>Y112+SUMIFS('บันทึกของเข้า-ออก'!$J:$J,'บันทึกของเข้า-ออก'!$B:$B,สรุป!$C112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2" s="9">
        <f>Z112+SUMIFS('บันทึกของเข้า-ออก'!$J:$J,'บันทึกของเข้า-ออก'!$B:$B,สรุป!$C112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2" s="9">
        <f>AA112+SUMIFS('บันทึกของเข้า-ออก'!$J:$J,'บันทึกของเข้า-ออก'!$B:$B,สรุป!$C112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2" s="9">
        <f>AB112+SUMIFS('บันทึกของเข้า-ออก'!$J:$J,'บันทึกของเข้า-ออก'!$B:$B,สรุป!$C112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2" s="9">
        <f>AC112+SUMIFS('บันทึกของเข้า-ออก'!$J:$J,'บันทึกของเข้า-ออก'!$B:$B,สรุป!$C112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2" s="9">
        <f>AD112+SUMIFS('บันทึกของเข้า-ออก'!$J:$J,'บันทึกของเข้า-ออก'!$B:$B,สรุป!$C112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2" s="9">
        <f>AE112+SUMIFS('บันทึกของเข้า-ออก'!$J:$J,'บันทึกของเข้า-ออก'!$B:$B,สรุป!$C112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2" s="9">
        <f>AF112+SUMIFS('บันทึกของเข้า-ออก'!$J:$J,'บันทึกของเข้า-ออก'!$B:$B,สรุป!$C112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2" s="9">
        <f>AG112+SUMIFS('บันทึกของเข้า-ออก'!$J:$J,'บันทึกของเข้า-ออก'!$B:$B,สรุป!$C112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2" s="9">
        <f>AH112+SUMIFS('บันทึกของเข้า-ออก'!$J:$J,'บันทึกของเข้า-ออก'!$B:$B,สรุป!$C112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12" s="9">
        <f>AI112+SUMIFS('บันทึกของเข้า-ออก'!$J:$J,'บันทึกของเข้า-ออก'!$B:$B,สรุป!$C112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2" s="9">
        <f>AJ112+SUMIFS('บันทึกของเข้า-ออก'!$J:$J,'บันทึกของเข้า-ออก'!$B:$B,สรุป!$C112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2" s="9">
        <f>AK112+SUMIFS('บันทึกของเข้า-ออก'!$J:$J,'บันทึกของเข้า-ออก'!$B:$B,สรุป!$C112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2" s="26"/>
      <c r="T112" s="33"/>
      <c r="U112" s="34"/>
      <c r="V112" s="25" t="str">
        <f t="shared" si="10"/>
        <v>แบบเหล็ก 0.25 x1.80 ม.</v>
      </c>
      <c r="W112" s="44">
        <v>13</v>
      </c>
      <c r="X112" s="35" t="s">
        <v>59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  <c r="AI112" s="26">
        <v>0</v>
      </c>
      <c r="AJ112" s="26">
        <v>0</v>
      </c>
      <c r="AK112" s="26">
        <v>0</v>
      </c>
      <c r="AL112" s="34"/>
    </row>
    <row r="113" spans="2:38" x14ac:dyDescent="0.3">
      <c r="B113" s="43" t="s">
        <v>101</v>
      </c>
      <c r="C113" s="6" t="s">
        <v>27</v>
      </c>
      <c r="D113" s="79">
        <f t="shared" si="9"/>
        <v>23</v>
      </c>
      <c r="E113" s="6" t="s">
        <v>59</v>
      </c>
      <c r="F113" s="9">
        <f>Y113+SUMIFS('บันทึกของเข้า-ออก'!$J:$J,'บันทึกของเข้า-ออก'!$B:$B,สรุป!$C113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3" s="9">
        <f>Z113+SUMIFS('บันทึกของเข้า-ออก'!$J:$J,'บันทึกของเข้า-ออก'!$B:$B,สรุป!$C113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3" s="9">
        <v>1</v>
      </c>
      <c r="I113" s="9">
        <f>AB113+SUMIFS('บันทึกของเข้า-ออก'!$J:$J,'บันทึกของเข้า-ออก'!$B:$B,สรุป!$C113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3" s="9">
        <f>AC113+SUMIFS('บันทึกของเข้า-ออก'!$J:$J,'บันทึกของเข้า-ออก'!$B:$B,สรุป!$C113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3" s="9">
        <f>AD113+SUMIFS('บันทึกของเข้า-ออก'!$J:$J,'บันทึกของเข้า-ออก'!$B:$B,สรุป!$C113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3" s="9">
        <f>AE113+SUMIFS('บันทึกของเข้า-ออก'!$J:$J,'บันทึกของเข้า-ออก'!$B:$B,สรุป!$C113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3" s="9">
        <f>AF113+SUMIFS('บันทึกของเข้า-ออก'!$J:$J,'บันทึกของเข้า-ออก'!$B:$B,สรุป!$C113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3" s="9">
        <f>AG113+SUMIFS('บันทึกของเข้า-ออก'!$J:$J,'บันทึกของเข้า-ออก'!$B:$B,สรุป!$C113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3" s="9">
        <f>AH113+SUMIFS('บันทึกของเข้า-ออก'!$J:$J,'บันทึกของเข้า-ออก'!$B:$B,สรุป!$C113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O$5,'บันทึกของเข้า-ออก'!$D:$D,"&gt;="&amp;สรุป!$F$2,'บันทึกของเข้า-ออก'!$D:$D,"&lt;="&amp;สรุป!$G$2)</f>
        <v>22</v>
      </c>
      <c r="P113" s="9">
        <f>AI113+SUMIFS('บันทึกของเข้า-ออก'!$J:$J,'บันทึกของเข้า-ออก'!$B:$B,สรุป!$C113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3" s="9">
        <f>AJ113+SUMIFS('บันทึกของเข้า-ออก'!$J:$J,'บันทึกของเข้า-ออก'!$B:$B,สรุป!$C113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3" s="9">
        <f>AK113+SUMIFS('บันทึกของเข้า-ออก'!$J:$J,'บันทึกของเข้า-ออก'!$B:$B,สรุป!$C113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3" s="26"/>
      <c r="T113" s="33"/>
      <c r="U113" s="34"/>
      <c r="V113" s="25" t="str">
        <f t="shared" si="10"/>
        <v>แบบเหล็ก 0.30 x1.20 ม.</v>
      </c>
      <c r="W113" s="44">
        <v>21</v>
      </c>
      <c r="X113" s="35" t="s">
        <v>59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22</v>
      </c>
      <c r="AI113" s="26">
        <v>0</v>
      </c>
      <c r="AJ113" s="26">
        <v>0</v>
      </c>
      <c r="AK113" s="26">
        <v>0</v>
      </c>
      <c r="AL113" s="34"/>
    </row>
    <row r="114" spans="2:38" x14ac:dyDescent="0.3">
      <c r="B114" s="43" t="s">
        <v>101</v>
      </c>
      <c r="C114" s="6" t="s">
        <v>96</v>
      </c>
      <c r="D114" s="79">
        <f t="shared" si="9"/>
        <v>14</v>
      </c>
      <c r="E114" s="6" t="s">
        <v>59</v>
      </c>
      <c r="F114" s="9">
        <f>Y114+SUMIFS('บันทึกของเข้า-ออก'!$J:$J,'บันทึกของเข้า-ออก'!$B:$B,สรุป!$C114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4" s="9">
        <f>Z114+SUMIFS('บันทึกของเข้า-ออก'!$J:$J,'บันทึกของเข้า-ออก'!$B:$B,สรุป!$C114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4" s="9">
        <f>AA114+SUMIFS('บันทึกของเข้า-ออก'!$J:$J,'บันทึกของเข้า-ออก'!$B:$B,สรุป!$C114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4" s="9">
        <f>AB114+SUMIFS('บันทึกของเข้า-ออก'!$J:$J,'บันทึกของเข้า-ออก'!$B:$B,สรุป!$C114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4" s="9">
        <f>AC114+SUMIFS('บันทึกของเข้า-ออก'!$J:$J,'บันทึกของเข้า-ออก'!$B:$B,สรุป!$C114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4" s="9">
        <f>AD114+SUMIFS('บันทึกของเข้า-ออก'!$J:$J,'บันทึกของเข้า-ออก'!$B:$B,สรุป!$C114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4" s="9">
        <f>AE114+SUMIFS('บันทึกของเข้า-ออก'!$J:$J,'บันทึกของเข้า-ออก'!$B:$B,สรุป!$C114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4" s="9">
        <f>AF114+SUMIFS('บันทึกของเข้า-ออก'!$J:$J,'บันทึกของเข้า-ออก'!$B:$B,สรุป!$C114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4" s="9">
        <f>AG114+SUMIFS('บันทึกของเข้า-ออก'!$J:$J,'บันทึกของเข้า-ออก'!$B:$B,สรุป!$C114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4" s="9">
        <f>AH114+SUMIFS('บันทึกของเข้า-ออก'!$J:$J,'บันทึกของเข้า-ออก'!$B:$B,สรุป!$C114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O$5,'บันทึกของเข้า-ออก'!$D:$D,"&gt;="&amp;สรุป!$F$2,'บันทึกของเข้า-ออก'!$D:$D,"&lt;="&amp;สรุป!$G$2)</f>
        <v>14</v>
      </c>
      <c r="P114" s="9">
        <f>AI114+SUMIFS('บันทึกของเข้า-ออก'!$J:$J,'บันทึกของเข้า-ออก'!$B:$B,สรุป!$C114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4" s="9">
        <f>AJ114+SUMIFS('บันทึกของเข้า-ออก'!$J:$J,'บันทึกของเข้า-ออก'!$B:$B,สรุป!$C114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4" s="9">
        <f>AK114+SUMIFS('บันทึกของเข้า-ออก'!$J:$J,'บันทึกของเข้า-ออก'!$B:$B,สรุป!$C114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4" s="26"/>
      <c r="T114" s="33"/>
      <c r="U114" s="34"/>
      <c r="V114" s="25" t="str">
        <f t="shared" si="10"/>
        <v>แบบเหล็ก 0.30 x1.50 ม.</v>
      </c>
      <c r="W114" s="44">
        <v>20</v>
      </c>
      <c r="X114" s="35" t="s">
        <v>59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  <c r="AH114" s="26">
        <v>14</v>
      </c>
      <c r="AI114" s="26">
        <v>0</v>
      </c>
      <c r="AJ114" s="26">
        <v>0</v>
      </c>
      <c r="AK114" s="26">
        <v>0</v>
      </c>
      <c r="AL114" s="34"/>
    </row>
    <row r="115" spans="2:38" x14ac:dyDescent="0.3">
      <c r="B115" s="43" t="s">
        <v>101</v>
      </c>
      <c r="C115" s="6" t="s">
        <v>97</v>
      </c>
      <c r="D115" s="79">
        <f t="shared" si="9"/>
        <v>0</v>
      </c>
      <c r="E115" s="6" t="s">
        <v>59</v>
      </c>
      <c r="F115" s="9">
        <f>Y115+SUMIFS('บันทึกของเข้า-ออก'!$J:$J,'บันทึกของเข้า-ออก'!$B:$B,สรุป!$C115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5" s="9">
        <f>Z115+SUMIFS('บันทึกของเข้า-ออก'!$J:$J,'บันทึกของเข้า-ออก'!$B:$B,สรุป!$C115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5" s="9"/>
      <c r="I115" s="9">
        <f>AB115+SUMIFS('บันทึกของเข้า-ออก'!$J:$J,'บันทึกของเข้า-ออก'!$B:$B,สรุป!$C115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5" s="9">
        <f>AC115+SUMIFS('บันทึกของเข้า-ออก'!$J:$J,'บันทึกของเข้า-ออก'!$B:$B,สรุป!$C115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5" s="9">
        <f>AD115+SUMIFS('บันทึกของเข้า-ออก'!$J:$J,'บันทึกของเข้า-ออก'!$B:$B,สรุป!$C115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5" s="9">
        <f>AE115+SUMIFS('บันทึกของเข้า-ออก'!$J:$J,'บันทึกของเข้า-ออก'!$B:$B,สรุป!$C115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5" s="9">
        <f>AF115+SUMIFS('บันทึกของเข้า-ออก'!$J:$J,'บันทึกของเข้า-ออก'!$B:$B,สรุป!$C115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5" s="9">
        <f>AG115+SUMIFS('บันทึกของเข้า-ออก'!$J:$J,'บันทึกของเข้า-ออก'!$B:$B,สรุป!$C115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5" s="9">
        <f>AH115+SUMIFS('บันทึกของเข้า-ออก'!$J:$J,'บันทึกของเข้า-ออก'!$B:$B,สรุป!$C115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15" s="9">
        <f>AI115+SUMIFS('บันทึกของเข้า-ออก'!$J:$J,'บันทึกของเข้า-ออก'!$B:$B,สรุป!$C115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5" s="9">
        <f>AJ115+SUMIFS('บันทึกของเข้า-ออก'!$J:$J,'บันทึกของเข้า-ออก'!$B:$B,สรุป!$C115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5" s="9">
        <f>AK115+SUMIFS('บันทึกของเข้า-ออก'!$J:$J,'บันทึกของเข้า-ออก'!$B:$B,สรุป!$C115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5" s="26"/>
      <c r="T115" s="33"/>
      <c r="U115" s="34"/>
      <c r="V115" s="25" t="str">
        <f t="shared" si="10"/>
        <v>แบบเหล็ก 0.30 x1.80 ม.</v>
      </c>
      <c r="W115" s="44">
        <v>4</v>
      </c>
      <c r="X115" s="35" t="s">
        <v>59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34"/>
    </row>
    <row r="116" spans="2:38" x14ac:dyDescent="0.3">
      <c r="B116" s="43" t="s">
        <v>101</v>
      </c>
      <c r="C116" s="6" t="s">
        <v>95</v>
      </c>
      <c r="D116" s="79">
        <f t="shared" si="9"/>
        <v>2</v>
      </c>
      <c r="E116" s="6" t="s">
        <v>59</v>
      </c>
      <c r="F116" s="9">
        <f>Y116+SUMIFS('บันทึกของเข้า-ออก'!$J:$J,'บันทึกของเข้า-ออก'!$B:$B,สรุป!$C116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6" s="9">
        <f>Z116+SUMIFS('บันทึกของเข้า-ออก'!$J:$J,'บันทึกของเข้า-ออก'!$B:$B,สรุป!$C116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6" s="9">
        <f>AA116+SUMIFS('บันทึกของเข้า-ออก'!$J:$J,'บันทึกของเข้า-ออก'!$B:$B,สรุป!$C116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6" s="9">
        <f>AB116+SUMIFS('บันทึกของเข้า-ออก'!$J:$J,'บันทึกของเข้า-ออก'!$B:$B,สรุป!$C116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6" s="9">
        <f>AC116+SUMIFS('บันทึกของเข้า-ออก'!$J:$J,'บันทึกของเข้า-ออก'!$B:$B,สรุป!$C116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6" s="9">
        <f>AD116+SUMIFS('บันทึกของเข้า-ออก'!$J:$J,'บันทึกของเข้า-ออก'!$B:$B,สรุป!$C116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6" s="9">
        <f>AE116+SUMIFS('บันทึกของเข้า-ออก'!$J:$J,'บันทึกของเข้า-ออก'!$B:$B,สรุป!$C116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6" s="9">
        <f>AF116+SUMIFS('บันทึกของเข้า-ออก'!$J:$J,'บันทึกของเข้า-ออก'!$B:$B,สรุป!$C116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6" s="9">
        <f>AG116+SUMIFS('บันทึกของเข้า-ออก'!$J:$J,'บันทึกของเข้า-ออก'!$B:$B,สรุป!$C116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6" s="9">
        <f>AH116+SUMIFS('บันทึกของเข้า-ออก'!$J:$J,'บันทึกของเข้า-ออก'!$B:$B,สรุป!$C116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116" s="9">
        <f>AI116+SUMIFS('บันทึกของเข้า-ออก'!$J:$J,'บันทึกของเข้า-ออก'!$B:$B,สรุป!$C116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6" s="9">
        <f>AJ116+SUMIFS('บันทึกของเข้า-ออก'!$J:$J,'บันทึกของเข้า-ออก'!$B:$B,สรุป!$C116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6" s="9">
        <f>AK116+SUMIFS('บันทึกของเข้า-ออก'!$J:$J,'บันทึกของเข้า-ออก'!$B:$B,สรุป!$C116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6" s="26"/>
      <c r="T116" s="33"/>
      <c r="U116" s="34"/>
      <c r="V116" s="25" t="str">
        <f t="shared" si="10"/>
        <v>แบบเหล็ก 0.35x1.20 ม.</v>
      </c>
      <c r="W116" s="44">
        <v>30</v>
      </c>
      <c r="X116" s="35" t="s">
        <v>59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  <c r="AG116" s="26">
        <v>0</v>
      </c>
      <c r="AH116" s="26">
        <v>2</v>
      </c>
      <c r="AI116" s="26">
        <v>0</v>
      </c>
      <c r="AJ116" s="26">
        <v>0</v>
      </c>
      <c r="AK116" s="26">
        <v>0</v>
      </c>
      <c r="AL116" s="34"/>
    </row>
    <row r="117" spans="2:38" x14ac:dyDescent="0.3">
      <c r="B117" s="43" t="s">
        <v>101</v>
      </c>
      <c r="C117" s="6" t="s">
        <v>26</v>
      </c>
      <c r="D117" s="79">
        <f t="shared" si="9"/>
        <v>30</v>
      </c>
      <c r="E117" s="6" t="s">
        <v>59</v>
      </c>
      <c r="F117" s="9">
        <f>Y117+SUMIFS('บันทึกของเข้า-ออก'!$J:$J,'บันทึกของเข้า-ออก'!$B:$B,สรุป!$C117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7" s="9">
        <f>Z117+SUMIFS('บันทึกของเข้า-ออก'!$J:$J,'บันทึกของเข้า-ออก'!$B:$B,สรุป!$C117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7" s="9">
        <f>AA117+SUMIFS('บันทึกของเข้า-ออก'!$J:$J,'บันทึกของเข้า-ออก'!$B:$B,สรุป!$C117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7" s="9">
        <f>AB117+SUMIFS('บันทึกของเข้า-ออก'!$J:$J,'บันทึกของเข้า-ออก'!$B:$B,สรุป!$C117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I$5,'บันทึกของเข้า-ออก'!$D:$D,"&gt;="&amp;สรุป!$F$2,'บันทึกของเข้า-ออก'!$D:$D,"&lt;="&amp;สรุป!$G$2)</f>
        <v>1</v>
      </c>
      <c r="J117" s="9">
        <f>AC117+SUMIFS('บันทึกของเข้า-ออก'!$J:$J,'บันทึกของเข้า-ออก'!$B:$B,สรุป!$C117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7" s="9">
        <f>AD117+SUMIFS('บันทึกของเข้า-ออก'!$J:$J,'บันทึกของเข้า-ออก'!$B:$B,สรุป!$C117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7" s="9">
        <f>AE117+SUMIFS('บันทึกของเข้า-ออก'!$J:$J,'บันทึกของเข้า-ออก'!$B:$B,สรุป!$C117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7" s="9">
        <f>AF117+SUMIFS('บันทึกของเข้า-ออก'!$J:$J,'บันทึกของเข้า-ออก'!$B:$B,สรุป!$C117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7" s="9">
        <v>7</v>
      </c>
      <c r="O117" s="9">
        <v>22</v>
      </c>
      <c r="P117" s="9">
        <f>AI117+SUMIFS('บันทึกของเข้า-ออก'!$J:$J,'บันทึกของเข้า-ออก'!$B:$B,สรุป!$C117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7" s="9">
        <f>AJ117+SUMIFS('บันทึกของเข้า-ออก'!$J:$J,'บันทึกของเข้า-ออก'!$B:$B,สรุป!$C117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7" s="9">
        <f>AK117+SUMIFS('บันทึกของเข้า-ออก'!$J:$J,'บันทึกของเข้า-ออก'!$B:$B,สรุป!$C117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7" s="26"/>
      <c r="T117" s="33"/>
      <c r="U117" s="34"/>
      <c r="V117" s="25" t="str">
        <f t="shared" si="10"/>
        <v>แบบเหล็ก 0.40 x1.20 ม.</v>
      </c>
      <c r="W117" s="44">
        <v>15</v>
      </c>
      <c r="X117" s="35" t="s">
        <v>59</v>
      </c>
      <c r="Y117" s="26">
        <v>0</v>
      </c>
      <c r="Z117" s="26">
        <v>0</v>
      </c>
      <c r="AA117" s="26">
        <v>0</v>
      </c>
      <c r="AB117" s="26">
        <v>1</v>
      </c>
      <c r="AC117" s="26">
        <v>0</v>
      </c>
      <c r="AD117" s="26">
        <v>0</v>
      </c>
      <c r="AE117" s="26">
        <v>0</v>
      </c>
      <c r="AF117" s="26">
        <v>0</v>
      </c>
      <c r="AG117" s="26">
        <v>0</v>
      </c>
      <c r="AH117" s="26">
        <v>3</v>
      </c>
      <c r="AI117" s="26">
        <v>0</v>
      </c>
      <c r="AJ117" s="26">
        <v>0</v>
      </c>
      <c r="AK117" s="26">
        <v>0</v>
      </c>
      <c r="AL117" s="34"/>
    </row>
    <row r="118" spans="2:38" x14ac:dyDescent="0.3">
      <c r="B118" s="43" t="s">
        <v>101</v>
      </c>
      <c r="C118" s="6" t="s">
        <v>202</v>
      </c>
      <c r="D118" s="44">
        <f t="shared" si="9"/>
        <v>20</v>
      </c>
      <c r="E118" s="6" t="s">
        <v>59</v>
      </c>
      <c r="F118" s="9">
        <f>Y118+SUMIFS('บันทึกของเข้า-ออก'!$J:$J,'บันทึกของเข้า-ออก'!$B:$B,สรุป!$C118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8" s="9">
        <f>Z118+SUMIFS('บันทึกของเข้า-ออก'!$J:$J,'บันทึกของเข้า-ออก'!$B:$B,สรุป!$C118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8" s="9">
        <f>AA118+SUMIFS('บันทึกของเข้า-ออก'!$J:$J,'บันทึกของเข้า-ออก'!$B:$B,สรุป!$C118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8" s="9">
        <f>AB118+SUMIFS('บันทึกของเข้า-ออก'!$J:$J,'บันทึกของเข้า-ออก'!$B:$B,สรุป!$C118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I$5,'บันทึกของเข้า-ออก'!$D:$D,"&gt;="&amp;สรุป!$F$2,'บันทึกของเข้า-ออก'!$D:$D,"&lt;="&amp;สรุป!$G$2)</f>
        <v>10</v>
      </c>
      <c r="J118" s="9">
        <f>AC118+SUMIFS('บันทึกของเข้า-ออก'!$J:$J,'บันทึกของเข้า-ออก'!$B:$B,สรุป!$C118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8" s="9">
        <f>AD118+SUMIFS('บันทึกของเข้า-ออก'!$J:$J,'บันทึกของเข้า-ออก'!$B:$B,สรุป!$C118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8" s="9">
        <f>AE118+SUMIFS('บันทึกของเข้า-ออก'!$J:$J,'บันทึกของเข้า-ออก'!$B:$B,สรุป!$C118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8" s="9">
        <f>AF118+SUMIFS('บันทึกของเข้า-ออก'!$J:$J,'บันทึกของเข้า-ออก'!$B:$B,สรุป!$C118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8" s="9">
        <f>AG118+SUMIFS('บันทึกของเข้า-ออก'!$J:$J,'บันทึกของเข้า-ออก'!$B:$B,สรุป!$C118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8" s="9">
        <f>AH118+SUMIFS('บันทึกของเข้า-ออก'!$J:$J,'บันทึกของเข้า-ออก'!$B:$B,สรุป!$C118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O$5,'บันทึกของเข้า-ออก'!$D:$D,"&gt;="&amp;สรุป!$F$2,'บันทึกของเข้า-ออก'!$D:$D,"&lt;="&amp;สรุป!$G$2)</f>
        <v>10</v>
      </c>
      <c r="P118" s="9">
        <f>AI118+SUMIFS('บันทึกของเข้า-ออก'!$J:$J,'บันทึกของเข้า-ออก'!$B:$B,สรุป!$C118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8" s="9">
        <f>AJ118+SUMIFS('บันทึกของเข้า-ออก'!$J:$J,'บันทึกของเข้า-ออก'!$B:$B,สรุป!$C118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8" s="9">
        <f>AK118+SUMIFS('บันทึกของเข้า-ออก'!$J:$J,'บันทึกของเข้า-ออก'!$B:$B,สรุป!$C118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8" s="26"/>
      <c r="T118" s="33"/>
      <c r="U118" s="34"/>
      <c r="V118" s="25" t="str">
        <f t="shared" si="10"/>
        <v>แบบเหล็ก 0.40 x1.50 ม.</v>
      </c>
      <c r="W118" s="44">
        <v>10</v>
      </c>
      <c r="X118" s="35" t="s">
        <v>59</v>
      </c>
      <c r="Y118" s="26">
        <v>0</v>
      </c>
      <c r="Z118" s="26">
        <v>0</v>
      </c>
      <c r="AA118" s="26">
        <v>0</v>
      </c>
      <c r="AB118" s="26">
        <v>10</v>
      </c>
      <c r="AC118" s="26">
        <v>0</v>
      </c>
      <c r="AD118" s="26">
        <v>0</v>
      </c>
      <c r="AE118" s="26">
        <v>0</v>
      </c>
      <c r="AF118" s="26">
        <v>0</v>
      </c>
      <c r="AG118" s="26">
        <v>0</v>
      </c>
      <c r="AH118" s="26">
        <v>10</v>
      </c>
      <c r="AI118" s="26">
        <v>0</v>
      </c>
      <c r="AJ118" s="26">
        <v>0</v>
      </c>
      <c r="AK118" s="26">
        <v>0</v>
      </c>
      <c r="AL118" s="34"/>
    </row>
    <row r="119" spans="2:38" x14ac:dyDescent="0.3">
      <c r="B119" s="43" t="s">
        <v>101</v>
      </c>
      <c r="C119" s="6" t="s">
        <v>344</v>
      </c>
      <c r="D119" s="44">
        <f t="shared" si="9"/>
        <v>15</v>
      </c>
      <c r="E119" s="6" t="s">
        <v>59</v>
      </c>
      <c r="F119" s="9">
        <f>Y119+SUMIFS('บันทึกของเข้า-ออก'!$J:$J,'บันทึกของเข้า-ออก'!$B:$B,สรุป!$C119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19" s="9">
        <f>Z119+SUMIFS('บันทึกของเข้า-ออก'!$J:$J,'บันทึกของเข้า-ออก'!$B:$B,สรุป!$C119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19" s="9">
        <f>AA119+SUMIFS('บันทึกของเข้า-ออก'!$J:$J,'บันทึกของเข้า-ออก'!$B:$B,สรุป!$C119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19" s="9">
        <f>AB119+SUMIFS('บันทึกของเข้า-ออก'!$J:$J,'บันทึกของเข้า-ออก'!$B:$B,สรุป!$C119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19" s="9">
        <f>AC119+SUMIFS('บันทึกของเข้า-ออก'!$J:$J,'บันทึกของเข้า-ออก'!$B:$B,สรุป!$C119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19" s="9">
        <f>AD119+SUMIFS('บันทึกของเข้า-ออก'!$J:$J,'บันทึกของเข้า-ออก'!$B:$B,สรุป!$C119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19" s="9">
        <f>AE119+SUMIFS('บันทึกของเข้า-ออก'!$J:$J,'บันทึกของเข้า-ออก'!$B:$B,สรุป!$C119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19" s="9">
        <f>AF119+SUMIFS('บันทึกของเข้า-ออก'!$J:$J,'บันทึกของเข้า-ออก'!$B:$B,สรุป!$C119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19" s="9">
        <f>AG119+SUMIFS('บันทึกของเข้า-ออก'!$J:$J,'บันทึกของเข้า-ออก'!$B:$B,สรุป!$C119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19" s="9">
        <f>AH119+SUMIFS('บันทึกของเข้า-ออก'!$J:$J,'บันทึกของเข้า-ออก'!$B:$B,สรุป!$C119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O$5,'บันทึกของเข้า-ออก'!$D:$D,"&gt;="&amp;สรุป!$F$2,'บันทึกของเข้า-ออก'!$D:$D,"&lt;="&amp;สรุป!$G$2)</f>
        <v>15</v>
      </c>
      <c r="P119" s="9">
        <f>AI119+SUMIFS('บันทึกของเข้า-ออก'!$J:$J,'บันทึกของเข้า-ออก'!$B:$B,สรุป!$C119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19" s="9">
        <f>AJ119+SUMIFS('บันทึกของเข้า-ออก'!$J:$J,'บันทึกของเข้า-ออก'!$B:$B,สรุป!$C119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19" s="9">
        <f>AK119+SUMIFS('บันทึกของเข้า-ออก'!$J:$J,'บันทึกของเข้า-ออก'!$B:$B,สรุป!$C119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119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19" s="26"/>
      <c r="T119" s="33"/>
      <c r="U119" s="34"/>
      <c r="V119" s="6" t="s">
        <v>344</v>
      </c>
      <c r="W119" s="44"/>
      <c r="X119" s="35"/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0</v>
      </c>
      <c r="AH119" s="26">
        <v>15</v>
      </c>
      <c r="AI119" s="26">
        <v>0</v>
      </c>
      <c r="AJ119" s="26">
        <v>0</v>
      </c>
      <c r="AK119" s="26">
        <v>0</v>
      </c>
      <c r="AL119" s="34"/>
    </row>
    <row r="120" spans="2:38" x14ac:dyDescent="0.3">
      <c r="B120" s="43" t="s">
        <v>101</v>
      </c>
      <c r="C120" s="6" t="s">
        <v>153</v>
      </c>
      <c r="D120" s="44">
        <f t="shared" si="9"/>
        <v>1</v>
      </c>
      <c r="E120" s="6" t="s">
        <v>59</v>
      </c>
      <c r="F120" s="9">
        <f>Y120+SUMIFS('บันทึกของเข้า-ออก'!$J:$J,'บันทึกของเข้า-ออก'!$B:$B,สรุป!$C120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0" s="9">
        <f>Z120+SUMIFS('บันทึกของเข้า-ออก'!$J:$J,'บันทึกของเข้า-ออก'!$B:$B,สรุป!$C120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0" s="9">
        <f>AA120+SUMIFS('บันทึกของเข้า-ออก'!$J:$J,'บันทึกของเข้า-ออก'!$B:$B,สรุป!$C120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0" s="9">
        <f>AB120+SUMIFS('บันทึกของเข้า-ออก'!$J:$J,'บันทึกของเข้า-ออก'!$B:$B,สรุป!$C120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0" s="9">
        <f>AC120+SUMIFS('บันทึกของเข้า-ออก'!$J:$J,'บันทึกของเข้า-ออก'!$B:$B,สรุป!$C120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0" s="9">
        <f>AD120+SUMIFS('บันทึกของเข้า-ออก'!$J:$J,'บันทึกของเข้า-ออก'!$B:$B,สรุป!$C120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0" s="9">
        <f>AE120+SUMIFS('บันทึกของเข้า-ออก'!$J:$J,'บันทึกของเข้า-ออก'!$B:$B,สรุป!$C120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0" s="9">
        <f>AF120+SUMIFS('บันทึกของเข้า-ออก'!$J:$J,'บันทึกของเข้า-ออก'!$B:$B,สรุป!$C120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0" s="9">
        <f>AG120+SUMIFS('บันทึกของเข้า-ออก'!$J:$J,'บันทึกของเข้า-ออก'!$B:$B,สรุป!$C120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0" s="9">
        <f>AH120+SUMIFS('บันทึกของเข้า-ออก'!$J:$J,'บันทึกของเข้า-ออก'!$B:$B,สรุป!$C120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120" s="9">
        <f>AI120+SUMIFS('บันทึกของเข้า-ออก'!$J:$J,'บันทึกของเข้า-ออก'!$B:$B,สรุป!$C120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0" s="9">
        <f>AJ120+SUMIFS('บันทึกของเข้า-ออก'!$J:$J,'บันทึกของเข้า-ออก'!$B:$B,สรุป!$C120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0" s="9">
        <f>AK120+SUMIFS('บันทึกของเข้า-ออก'!$J:$J,'บันทึกของเข้า-ออก'!$B:$B,สรุป!$C120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0" s="26"/>
      <c r="T120" s="33"/>
      <c r="U120" s="34"/>
      <c r="V120" s="25" t="str">
        <f>C120</f>
        <v>แบบเหล็ก 0.50 x1.20 ม.</v>
      </c>
      <c r="W120" s="44">
        <v>4</v>
      </c>
      <c r="X120" s="35" t="s">
        <v>59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  <c r="AF120" s="26">
        <v>0</v>
      </c>
      <c r="AG120" s="26">
        <v>0</v>
      </c>
      <c r="AH120" s="26">
        <v>1</v>
      </c>
      <c r="AI120" s="26">
        <v>0</v>
      </c>
      <c r="AJ120" s="26">
        <v>0</v>
      </c>
      <c r="AK120" s="26">
        <v>0</v>
      </c>
      <c r="AL120" s="34"/>
    </row>
    <row r="121" spans="2:38" x14ac:dyDescent="0.3">
      <c r="B121" s="43" t="s">
        <v>101</v>
      </c>
      <c r="C121" s="6" t="s">
        <v>345</v>
      </c>
      <c r="D121" s="44">
        <f t="shared" si="9"/>
        <v>0</v>
      </c>
      <c r="E121" s="6" t="s">
        <v>59</v>
      </c>
      <c r="F121" s="9">
        <f>Y121+SUMIFS('บันทึกของเข้า-ออก'!$J:$J,'บันทึกของเข้า-ออก'!$B:$B,สรุป!$C121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1" s="9">
        <f>Z121+SUMIFS('บันทึกของเข้า-ออก'!$J:$J,'บันทึกของเข้า-ออก'!$B:$B,สรุป!$C121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1" s="9">
        <f>AA121+SUMIFS('บันทึกของเข้า-ออก'!$J:$J,'บันทึกของเข้า-ออก'!$B:$B,สรุป!$C121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1" s="9">
        <f>AB121+SUMIFS('บันทึกของเข้า-ออก'!$J:$J,'บันทึกของเข้า-ออก'!$B:$B,สรุป!$C121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1" s="9">
        <f>AC121+SUMIFS('บันทึกของเข้า-ออก'!$J:$J,'บันทึกของเข้า-ออก'!$B:$B,สรุป!$C121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1" s="9">
        <f>AD121+SUMIFS('บันทึกของเข้า-ออก'!$J:$J,'บันทึกของเข้า-ออก'!$B:$B,สรุป!$C121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1" s="9">
        <f>AE121+SUMIFS('บันทึกของเข้า-ออก'!$J:$J,'บันทึกของเข้า-ออก'!$B:$B,สรุป!$C121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1" s="9">
        <f>AF121+SUMIFS('บันทึกของเข้า-ออก'!$J:$J,'บันทึกของเข้า-ออก'!$B:$B,สรุป!$C121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1" s="9">
        <f>AG121+SUMIFS('บันทึกของเข้า-ออก'!$J:$J,'บันทึกของเข้า-ออก'!$B:$B,สรุป!$C121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1" s="9">
        <f>AH121+SUMIFS('บันทึกของเข้า-ออก'!$J:$J,'บันทึกของเข้า-ออก'!$B:$B,สรุป!$C121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21" s="9">
        <f>AI121+SUMIFS('บันทึกของเข้า-ออก'!$J:$J,'บันทึกของเข้า-ออก'!$B:$B,สรุป!$C121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1" s="9">
        <f>AJ121+SUMIFS('บันทึกของเข้า-ออก'!$J:$J,'บันทึกของเข้า-ออก'!$B:$B,สรุป!$C121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1" s="9">
        <f>AK121+SUMIFS('บันทึกของเข้า-ออก'!$J:$J,'บันทึกของเข้า-ออก'!$B:$B,สรุป!$C121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1" s="26"/>
      <c r="T121" s="33"/>
      <c r="U121" s="34"/>
      <c r="V121" s="6" t="s">
        <v>345</v>
      </c>
      <c r="W121" s="44"/>
      <c r="X121" s="35"/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  <c r="AF121" s="26">
        <v>0</v>
      </c>
      <c r="AG121" s="26">
        <v>0</v>
      </c>
      <c r="AH121" s="26">
        <v>0</v>
      </c>
      <c r="AI121" s="26">
        <v>0</v>
      </c>
      <c r="AJ121" s="26">
        <v>0</v>
      </c>
      <c r="AK121" s="26">
        <v>0</v>
      </c>
      <c r="AL121" s="34"/>
    </row>
    <row r="122" spans="2:38" x14ac:dyDescent="0.3">
      <c r="B122" s="43" t="s">
        <v>101</v>
      </c>
      <c r="C122" s="6" t="s">
        <v>25</v>
      </c>
      <c r="D122" s="44">
        <f t="shared" si="9"/>
        <v>174</v>
      </c>
      <c r="E122" s="6" t="s">
        <v>59</v>
      </c>
      <c r="F122" s="9">
        <f>Y122+SUMIFS('บันทึกของเข้า-ออก'!$J:$J,'บันทึกของเข้า-ออก'!$B:$B,สรุป!$C122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F$5,'บันทึกของเข้า-ออก'!$D:$D,"&gt;="&amp;สรุป!$F$2,'บันทึกของเข้า-ออก'!$D:$D,"&lt;="&amp;สรุป!$G$2)</f>
        <v>117</v>
      </c>
      <c r="G122" s="9">
        <f>Z122+SUMIFS('บันทึกของเข้า-ออก'!$J:$J,'บันทึกของเข้า-ออก'!$B:$B,สรุป!$C122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2" s="9">
        <f>AA122+SUMIFS('บันทึกของเข้า-ออก'!$J:$J,'บันทึกของเข้า-ออก'!$B:$B,สรุป!$C122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2" s="9">
        <f>AB122+SUMIFS('บันทึกของเข้า-ออก'!$J:$J,'บันทึกของเข้า-ออก'!$B:$B,สรุป!$C122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I$5,'บันทึกของเข้า-ออก'!$D:$D,"&gt;="&amp;สรุป!$F$2,'บันทึกของเข้า-ออก'!$D:$D,"&lt;="&amp;สรุป!$G$2)</f>
        <v>7</v>
      </c>
      <c r="J122" s="9">
        <f>AC122+SUMIFS('บันทึกของเข้า-ออก'!$J:$J,'บันทึกของเข้า-ออก'!$B:$B,สรุป!$C122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J$5,'บันทึกของเข้า-ออก'!$D:$D,"&gt;="&amp;สรุป!$F$2,'บันทึกของเข้า-ออก'!$D:$D,"&lt;="&amp;สรุป!$G$2)</f>
        <v>-7</v>
      </c>
      <c r="K122" s="9">
        <f>AD122+SUMIFS('บันทึกของเข้า-ออก'!$J:$J,'บันทึกของเข้า-ออก'!$B:$B,สรุป!$C122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2" s="9">
        <f>AE122+SUMIFS('บันทึกของเข้า-ออก'!$J:$J,'บันทึกของเข้า-ออก'!$B:$B,สรุป!$C122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2" s="9">
        <v>1</v>
      </c>
      <c r="N122" s="9">
        <f>AG122+SUMIFS('บันทึกของเข้า-ออก'!$J:$J,'บันทึกของเข้า-ออก'!$B:$B,สรุป!$C122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N$5,'บันทึกของเข้า-ออก'!$D:$D,"&gt;="&amp;สรุป!$F$2,'บันทึกของเข้า-ออก'!$D:$D,"&lt;="&amp;สรุป!$G$2)</f>
        <v>2</v>
      </c>
      <c r="O122" s="9">
        <f>AH122+SUMIFS('บันทึกของเข้า-ออก'!$J:$J,'บันทึกของเข้า-ออก'!$B:$B,สรุป!$C122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O$5,'บันทึกของเข้า-ออก'!$D:$D,"&gt;="&amp;สรุป!$F$2,'บันทึกของเข้า-ออก'!$D:$D,"&lt;="&amp;สรุป!$G$2)</f>
        <v>47</v>
      </c>
      <c r="P122" s="9">
        <f>AI122+SUMIFS('บันทึกของเข้า-ออก'!$J:$J,'บันทึกของเข้า-ออก'!$B:$B,สรุป!$C122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2" s="9">
        <f>AJ122+SUMIFS('บันทึกของเข้า-ออก'!$J:$J,'บันทึกของเข้า-ออก'!$B:$B,สรุป!$C122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2" s="9">
        <f>AK122+SUMIFS('บันทึกของเข้า-ออก'!$J:$J,'บันทึกของเข้า-ออก'!$B:$B,สรุป!$C122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2" s="26"/>
      <c r="T122" s="33"/>
      <c r="U122" s="34"/>
      <c r="V122" s="25" t="str">
        <f>C122</f>
        <v>แบบเหล็ก 0.60 x1.20 ม.</v>
      </c>
      <c r="W122" s="79">
        <v>206</v>
      </c>
      <c r="X122" s="35" t="s">
        <v>59</v>
      </c>
      <c r="Y122" s="26">
        <v>9</v>
      </c>
      <c r="Z122" s="26">
        <v>0</v>
      </c>
      <c r="AA122" s="26">
        <v>0</v>
      </c>
      <c r="AB122" s="26">
        <v>7</v>
      </c>
      <c r="AC122" s="26">
        <v>14</v>
      </c>
      <c r="AD122" s="26">
        <v>0</v>
      </c>
      <c r="AE122" s="26">
        <v>0</v>
      </c>
      <c r="AF122" s="26">
        <v>40</v>
      </c>
      <c r="AG122" s="26">
        <v>62</v>
      </c>
      <c r="AH122" s="26">
        <v>74</v>
      </c>
      <c r="AI122" s="26">
        <v>0</v>
      </c>
      <c r="AJ122" s="26">
        <v>0</v>
      </c>
      <c r="AK122" s="26">
        <v>0</v>
      </c>
      <c r="AL122" s="34"/>
    </row>
    <row r="123" spans="2:38" x14ac:dyDescent="0.3">
      <c r="B123" s="43" t="s">
        <v>101</v>
      </c>
      <c r="C123" s="6" t="s">
        <v>346</v>
      </c>
      <c r="D123" s="44">
        <f t="shared" si="9"/>
        <v>0</v>
      </c>
      <c r="E123" s="6" t="s">
        <v>59</v>
      </c>
      <c r="F123" s="9">
        <f>Y123+SUMIFS('บันทึกของเข้า-ออก'!$J:$J,'บันทึกของเข้า-ออก'!$B:$B,สรุป!$C123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3" s="9">
        <f>Z123+SUMIFS('บันทึกของเข้า-ออก'!$J:$J,'บันทึกของเข้า-ออก'!$B:$B,สรุป!$C123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3" s="9">
        <f>AA123+SUMIFS('บันทึกของเข้า-ออก'!$J:$J,'บันทึกของเข้า-ออก'!$B:$B,สรุป!$C123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3" s="9">
        <f>AB123+SUMIFS('บันทึกของเข้า-ออก'!$J:$J,'บันทึกของเข้า-ออก'!$B:$B,สรุป!$C123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3" s="9">
        <f>AC123+SUMIFS('บันทึกของเข้า-ออก'!$J:$J,'บันทึกของเข้า-ออก'!$B:$B,สรุป!$C123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3" s="9">
        <f>AD123+SUMIFS('บันทึกของเข้า-ออก'!$J:$J,'บันทึกของเข้า-ออก'!$B:$B,สรุป!$C123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3" s="9">
        <f>AE123+SUMIFS('บันทึกของเข้า-ออก'!$J:$J,'บันทึกของเข้า-ออก'!$B:$B,สรุป!$C123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3" s="9">
        <f>AF123+SUMIFS('บันทึกของเข้า-ออก'!$J:$J,'บันทึกของเข้า-ออก'!$B:$B,สรุป!$C123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3" s="9">
        <f>AG123+SUMIFS('บันทึกของเข้า-ออก'!$J:$J,'บันทึกของเข้า-ออก'!$B:$B,สรุป!$C123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3" s="9">
        <f>AH123+SUMIFS('บันทึกของเข้า-ออก'!$J:$J,'บันทึกของเข้า-ออก'!$B:$B,สรุป!$C123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23" s="9">
        <f>AI123+SUMIFS('บันทึกของเข้า-ออก'!$J:$J,'บันทึกของเข้า-ออก'!$B:$B,สรุป!$C123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3" s="9">
        <f>AJ123+SUMIFS('บันทึกของเข้า-ออก'!$J:$J,'บันทึกของเข้า-ออก'!$B:$B,สรุป!$C123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3" s="9">
        <f>AK123+SUMIFS('บันทึกของเข้า-ออก'!$J:$J,'บันทึกของเข้า-ออก'!$B:$B,สรุป!$C123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3" s="26"/>
      <c r="T123" s="33"/>
      <c r="U123" s="34"/>
      <c r="V123" s="6" t="s">
        <v>346</v>
      </c>
      <c r="W123" s="44"/>
      <c r="X123" s="35"/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0</v>
      </c>
      <c r="AH123" s="26">
        <v>0</v>
      </c>
      <c r="AI123" s="26">
        <v>0</v>
      </c>
      <c r="AJ123" s="26">
        <v>0</v>
      </c>
      <c r="AK123" s="26">
        <v>0</v>
      </c>
      <c r="AL123" s="34"/>
    </row>
    <row r="124" spans="2:38" x14ac:dyDescent="0.3">
      <c r="B124" s="43" t="s">
        <v>101</v>
      </c>
      <c r="C124" s="6" t="s">
        <v>224</v>
      </c>
      <c r="D124" s="44">
        <f t="shared" si="9"/>
        <v>631</v>
      </c>
      <c r="E124" s="6" t="s">
        <v>59</v>
      </c>
      <c r="F124" s="9">
        <f>Y124+SUMIFS('บันทึกของเข้า-ออก'!$J:$J,'บันทึกของเข้า-ออก'!$B:$B,สรุป!$C124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4" s="9">
        <f>Z124+SUMIFS('บันทึกของเข้า-ออก'!$J:$J,'บันทึกของเข้า-ออก'!$B:$B,สรุป!$C124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4" s="9">
        <f>AA124+SUMIFS('บันทึกของเข้า-ออก'!$J:$J,'บันทึกของเข้า-ออก'!$B:$B,สรุป!$C124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4" s="9">
        <f>AB124+SUMIFS('บันทึกของเข้า-ออก'!$J:$J,'บันทึกของเข้า-ออก'!$B:$B,สรุป!$C124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I$5,'บันทึกของเข้า-ออก'!$D:$D,"&gt;="&amp;สรุป!$F$2,'บันทึกของเข้า-ออก'!$D:$D,"&lt;="&amp;สรุป!$G$2)</f>
        <v>36</v>
      </c>
      <c r="J124" s="57">
        <f>AC124+SUMIFS('บันทึกของเข้า-ออก'!$J:$J,'บันทึกของเข้า-ออก'!$B:$B,สรุป!$C124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J$5,'บันทึกของเข้า-ออก'!$D:$D,"&gt;="&amp;สรุป!$F$2,'บันทึกของเข้า-ออก'!$D:$D,"&lt;="&amp;สรุป!$G$2)</f>
        <v>10</v>
      </c>
      <c r="K124" s="9">
        <f>AD124+SUMIFS('บันทึกของเข้า-ออก'!$J:$J,'บันทึกของเข้า-ออก'!$B:$B,สรุป!$C124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4" s="9">
        <f>AE124+SUMIFS('บันทึกของเข้า-ออก'!$J:$J,'บันทึกของเข้า-ออก'!$B:$B,สรุป!$C124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4" s="9">
        <f>AF124+SUMIFS('บันทึกของเข้า-ออก'!$J:$J,'บันทึกของเข้า-ออก'!$B:$B,สรุป!$C124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M$5,'บันทึกของเข้า-ออก'!$D:$D,"&gt;="&amp;สรุป!$F$2,'บันทึกของเข้า-ออก'!$D:$D,"&lt;="&amp;สรุป!$G$2)</f>
        <v>169</v>
      </c>
      <c r="N124" s="9">
        <f>AG124+SUMIFS('บันทึกของเข้า-ออก'!$J:$J,'บันทึกของเข้า-ออก'!$B:$B,สรุป!$C124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N$5,'บันทึกของเข้า-ออก'!$D:$D,"&gt;="&amp;สรุป!$F$2,'บันทึกของเข้า-ออก'!$D:$D,"&lt;="&amp;สรุป!$G$2)</f>
        <v>5</v>
      </c>
      <c r="O124" s="9">
        <f>AH124+SUMIFS('บันทึกของเข้า-ออก'!$J:$J,'บันทึกของเข้า-ออก'!$B:$B,สรุป!$C124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O$5,'บันทึกของเข้า-ออก'!$D:$D,"&gt;="&amp;สรุป!$F$2,'บันทึกของเข้า-ออก'!$D:$D,"&lt;="&amp;สรุป!$G$2)</f>
        <v>411</v>
      </c>
      <c r="P124" s="9">
        <f>AI124+SUMIFS('บันทึกของเข้า-ออก'!$J:$J,'บันทึกของเข้า-ออก'!$B:$B,สรุป!$C124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4" s="9">
        <f>AJ124+SUMIFS('บันทึกของเข้า-ออก'!$J:$J,'บันทึกของเข้า-ออก'!$B:$B,สรุป!$C124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4" s="9">
        <f>AK124+SUMIFS('บันทึกของเข้า-ออก'!$J:$J,'บันทึกของเข้า-ออก'!$B:$B,สรุป!$C124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4" s="26"/>
      <c r="T124" s="33"/>
      <c r="U124" s="34"/>
      <c r="V124" s="25" t="str">
        <f t="shared" ref="V124:V134" si="11">C124</f>
        <v>ไม้อัดดำ 1.20 x 2.40 ม. 15 mm</v>
      </c>
      <c r="W124" s="44">
        <v>272</v>
      </c>
      <c r="X124" s="35" t="s">
        <v>59</v>
      </c>
      <c r="Y124" s="26">
        <v>0</v>
      </c>
      <c r="Z124" s="26">
        <v>0</v>
      </c>
      <c r="AA124" s="26">
        <v>0</v>
      </c>
      <c r="AB124" s="26">
        <v>36</v>
      </c>
      <c r="AC124" s="26">
        <v>0</v>
      </c>
      <c r="AD124" s="26">
        <v>0</v>
      </c>
      <c r="AE124" s="26">
        <v>0</v>
      </c>
      <c r="AF124" s="26">
        <v>210</v>
      </c>
      <c r="AG124" s="26">
        <v>5</v>
      </c>
      <c r="AH124" s="26">
        <v>110</v>
      </c>
      <c r="AI124" s="26">
        <v>0</v>
      </c>
      <c r="AJ124" s="26">
        <v>0</v>
      </c>
      <c r="AK124" s="26">
        <v>0</v>
      </c>
      <c r="AL124" s="34"/>
    </row>
    <row r="125" spans="2:38" x14ac:dyDescent="0.3">
      <c r="B125" s="43" t="s">
        <v>101</v>
      </c>
      <c r="C125" s="6" t="s">
        <v>278</v>
      </c>
      <c r="D125" s="44">
        <f t="shared" si="9"/>
        <v>423</v>
      </c>
      <c r="E125" s="6" t="s">
        <v>58</v>
      </c>
      <c r="F125" s="9">
        <f>Y125+SUMIFS('บันทึกของเข้า-ออก'!$J:$J,'บันทึกของเข้า-ออก'!$B:$B,สรุป!$C125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5" s="9">
        <f>Z125+SUMIFS('บันทึกของเข้า-ออก'!$J:$J,'บันทึกของเข้า-ออก'!$B:$B,สรุป!$C125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5" s="9">
        <f>AA125+SUMIFS('บันทึกของเข้า-ออก'!$J:$J,'บันทึกของเข้า-ออก'!$B:$B,สรุป!$C125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H$5,'บันทึกของเข้า-ออก'!$D:$D,"&gt;="&amp;สรุป!$F$2,'บันทึกของเข้า-ออก'!$D:$D,"&lt;="&amp;สรุป!$G$2)</f>
        <v>423</v>
      </c>
      <c r="I125" s="9">
        <f>AB125+SUMIFS('บันทึกของเข้า-ออก'!$J:$J,'บันทึกของเข้า-ออก'!$B:$B,สรุป!$C125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5" s="9">
        <f>AC125+SUMIFS('บันทึกของเข้า-ออก'!$J:$J,'บันทึกของเข้า-ออก'!$B:$B,สรุป!$C125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5" s="9">
        <f>AD125+SUMIFS('บันทึกของเข้า-ออก'!$J:$J,'บันทึกของเข้า-ออก'!$B:$B,สรุป!$C125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5" s="9">
        <f>AE125+SUMIFS('บันทึกของเข้า-ออก'!$J:$J,'บันทึกของเข้า-ออก'!$B:$B,สรุป!$C125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5" s="9">
        <f>AF125+SUMIFS('บันทึกของเข้า-ออก'!$J:$J,'บันทึกของเข้า-ออก'!$B:$B,สรุป!$C125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5" s="9">
        <f>AG125+SUMIFS('บันทึกของเข้า-ออก'!$J:$J,'บันทึกของเข้า-ออก'!$B:$B,สรุป!$C125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5" s="9">
        <f>AH125+SUMIFS('บันทึกของเข้า-ออก'!$J:$J,'บันทึกของเข้า-ออก'!$B:$B,สรุป!$C125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25" s="9">
        <f>AI125+SUMIFS('บันทึกของเข้า-ออก'!$J:$J,'บันทึกของเข้า-ออก'!$B:$B,สรุป!$C125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5" s="9">
        <f>AJ125+SUMIFS('บันทึกของเข้า-ออก'!$J:$J,'บันทึกของเข้า-ออก'!$B:$B,สรุป!$C125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5" s="9">
        <f>AK125+SUMIFS('บันทึกของเข้า-ออก'!$J:$J,'บันทึกของเข้า-ออก'!$B:$B,สรุป!$C125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5" s="26"/>
      <c r="T125" s="33"/>
      <c r="U125" s="34"/>
      <c r="V125" s="25" t="str">
        <f t="shared" si="11"/>
        <v>สปริงคริปงานเข้าแบบผนัง</v>
      </c>
      <c r="W125" s="44">
        <v>423</v>
      </c>
      <c r="X125" s="35" t="s">
        <v>58</v>
      </c>
      <c r="Y125" s="26">
        <v>0</v>
      </c>
      <c r="Z125" s="26">
        <v>0</v>
      </c>
      <c r="AA125" s="26">
        <v>423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34"/>
    </row>
    <row r="126" spans="2:38" x14ac:dyDescent="0.3">
      <c r="B126" s="43" t="s">
        <v>101</v>
      </c>
      <c r="C126" s="6" t="s">
        <v>362</v>
      </c>
      <c r="D126" s="44">
        <f t="shared" ref="D126" si="12">SUMIF(F126:T126,"&gt;0")</f>
        <v>18</v>
      </c>
      <c r="E126" s="6" t="s">
        <v>363</v>
      </c>
      <c r="F126" s="9">
        <f>Y126+SUMIFS('บันทึกของเข้า-ออก'!$J:$J,'บันทึกของเข้า-ออก'!$B:$B,สรุป!$C126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F$5,'บันทึกของเข้า-ออก'!$D:$D,"&gt;="&amp;สรุป!$F$2,'บันทึกของเข้า-ออก'!$D:$D,"&lt;="&amp;สรุป!$G$2)</f>
        <v>9</v>
      </c>
      <c r="G126" s="9">
        <f>Z126+SUMIFS('บันทึกของเข้า-ออก'!$J:$J,'บันทึกของเข้า-ออก'!$B:$B,สรุป!$C126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6" s="9">
        <f>AA126+SUMIFS('บันทึกของเข้า-ออก'!$J:$J,'บันทึกของเข้า-ออก'!$B:$B,สรุป!$C126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6" s="9">
        <f>AB126+SUMIFS('บันทึกของเข้า-ออก'!$J:$J,'บันทึกของเข้า-ออก'!$B:$B,สรุป!$C126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6" s="57">
        <f>AC126+SUMIFS('บันทึกของเข้า-ออก'!$J:$J,'บันทึกของเข้า-ออก'!$B:$B,สรุป!$C126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6" s="9">
        <f>AD126+SUMIFS('บันทึกของเข้า-ออก'!$J:$J,'บันทึกของเข้า-ออก'!$B:$B,สรุป!$C126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6" s="9">
        <f>AE126+SUMIFS('บันทึกของเข้า-ออก'!$J:$J,'บันทึกของเข้า-ออก'!$B:$B,สรุป!$C126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6" s="9">
        <f>AF126+SUMIFS('บันทึกของเข้า-ออก'!$J:$J,'บันทึกของเข้า-ออก'!$B:$B,สรุป!$C126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6" s="9">
        <f>AG126+SUMIFS('บันทึกของเข้า-ออก'!$J:$J,'บันทึกของเข้า-ออก'!$B:$B,สรุป!$C126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N$5,'บันทึกของเข้า-ออก'!$D:$D,"&gt;="&amp;สรุป!$F$2,'บันทึกของเข้า-ออก'!$D:$D,"&lt;="&amp;สรุป!$G$2)</f>
        <v>9</v>
      </c>
      <c r="O126" s="9">
        <f>AH126+SUMIFS('บันทึกของเข้า-ออก'!$J:$J,'บันทึกของเข้า-ออก'!$B:$B,สรุป!$C126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26" s="9">
        <f>AI126+SUMIFS('บันทึกของเข้า-ออก'!$J:$J,'บันทึกของเข้า-ออก'!$B:$B,สรุป!$C126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6" s="9">
        <f>AJ126+SUMIFS('บันทึกของเข้า-ออก'!$J:$J,'บันทึกของเข้า-ออก'!$B:$B,สรุป!$C126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6" s="9">
        <f>AK126+SUMIFS('บันทึกของเข้า-ออก'!$J:$J,'บันทึกของเข้า-ออก'!$B:$B,สรุป!$C126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6" s="26"/>
      <c r="T126" s="33"/>
      <c r="U126" s="34"/>
      <c r="V126" s="25" t="str">
        <f t="shared" ref="V126" si="13">C126</f>
        <v>แบบเสาประกอบ 25*25*3.00</v>
      </c>
      <c r="W126" s="44"/>
      <c r="X126" s="35" t="s">
        <v>363</v>
      </c>
      <c r="Y126" s="26">
        <v>0</v>
      </c>
      <c r="Z126" s="26">
        <v>0</v>
      </c>
      <c r="AA126" s="26">
        <v>0</v>
      </c>
      <c r="AB126" s="26"/>
      <c r="AC126" s="26">
        <v>0</v>
      </c>
      <c r="AD126" s="26">
        <v>0</v>
      </c>
      <c r="AE126" s="26">
        <v>0</v>
      </c>
      <c r="AF126" s="26"/>
      <c r="AG126" s="26">
        <v>9</v>
      </c>
      <c r="AH126" s="26"/>
      <c r="AI126" s="26">
        <v>0</v>
      </c>
      <c r="AJ126" s="26">
        <v>0</v>
      </c>
      <c r="AK126" s="26">
        <v>0</v>
      </c>
      <c r="AL126" s="34"/>
    </row>
    <row r="127" spans="2:38" x14ac:dyDescent="0.3">
      <c r="B127" s="43" t="s">
        <v>101</v>
      </c>
      <c r="C127" s="6" t="s">
        <v>361</v>
      </c>
      <c r="D127" s="44">
        <f t="shared" ref="D127" si="14">SUMIF(F127:T127,"&gt;0")</f>
        <v>4</v>
      </c>
      <c r="E127" s="6" t="s">
        <v>363</v>
      </c>
      <c r="F127" s="9">
        <f>Y127+SUMIFS('บันทึกของเข้า-ออก'!$J:$J,'บันทึกของเข้า-ออก'!$B:$B,สรุป!$C127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F$5,'บันทึกของเข้า-ออก'!$D:$D,"&gt;="&amp;สรุป!$F$2,'บันทึกของเข้า-ออก'!$D:$D,"&lt;="&amp;สรุป!$G$2)</f>
        <v>2</v>
      </c>
      <c r="G127" s="9">
        <f>Z127+SUMIFS('บันทึกของเข้า-ออก'!$J:$J,'บันทึกของเข้า-ออก'!$B:$B,สรุป!$C127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7" s="9">
        <f>AA127+SUMIFS('บันทึกของเข้า-ออก'!$J:$J,'บันทึกของเข้า-ออก'!$B:$B,สรุป!$C127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7" s="9">
        <f>AB127+SUMIFS('บันทึกของเข้า-ออก'!$J:$J,'บันทึกของเข้า-ออก'!$B:$B,สรุป!$C127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7" s="57">
        <f>AC127+SUMIFS('บันทึกของเข้า-ออก'!$J:$J,'บันทึกของเข้า-ออก'!$B:$B,สรุป!$C127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7" s="9">
        <f>AD127+SUMIFS('บันทึกของเข้า-ออก'!$J:$J,'บันทึกของเข้า-ออก'!$B:$B,สรุป!$C127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7" s="9">
        <f>AE127+SUMIFS('บันทึกของเข้า-ออก'!$J:$J,'บันทึกของเข้า-ออก'!$B:$B,สรุป!$C127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7" s="9">
        <f>AF127+SUMIFS('บันทึกของเข้า-ออก'!$J:$J,'บันทึกของเข้า-ออก'!$B:$B,สรุป!$C127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7" s="9">
        <f>AG127+SUMIFS('บันทึกของเข้า-ออก'!$J:$J,'บันทึกของเข้า-ออก'!$B:$B,สรุป!$C127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N$5,'บันทึกของเข้า-ออก'!$D:$D,"&gt;="&amp;สรุป!$F$2,'บันทึกของเข้า-ออก'!$D:$D,"&lt;="&amp;สรุป!$G$2)</f>
        <v>2</v>
      </c>
      <c r="O127" s="9"/>
      <c r="P127" s="9">
        <f>AI127+SUMIFS('บันทึกของเข้า-ออก'!$J:$J,'บันทึกของเข้า-ออก'!$B:$B,สรุป!$C127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7" s="9">
        <f>AJ127+SUMIFS('บันทึกของเข้า-ออก'!$J:$J,'บันทึกของเข้า-ออก'!$B:$B,สรุป!$C127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7" s="9">
        <f>AK127+SUMIFS('บันทึกของเข้า-ออก'!$J:$J,'บันทึกของเข้า-ออก'!$B:$B,สรุป!$C127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7" s="26"/>
      <c r="T127" s="33"/>
      <c r="U127" s="34"/>
      <c r="V127" s="25" t="str">
        <f t="shared" ref="V127" si="15">C127</f>
        <v>แบบเสาประกอบ 30*40*3.00</v>
      </c>
      <c r="W127" s="44"/>
      <c r="X127" s="35" t="s">
        <v>363</v>
      </c>
      <c r="Y127" s="26">
        <v>0</v>
      </c>
      <c r="Z127" s="26">
        <v>0</v>
      </c>
      <c r="AA127" s="26">
        <v>0</v>
      </c>
      <c r="AB127" s="26"/>
      <c r="AC127" s="26">
        <v>0</v>
      </c>
      <c r="AD127" s="26">
        <v>0</v>
      </c>
      <c r="AE127" s="26">
        <v>0</v>
      </c>
      <c r="AF127" s="26"/>
      <c r="AG127" s="26">
        <v>2</v>
      </c>
      <c r="AH127" s="26">
        <v>40</v>
      </c>
      <c r="AI127" s="26">
        <v>0</v>
      </c>
      <c r="AJ127" s="26">
        <v>0</v>
      </c>
      <c r="AK127" s="26">
        <v>0</v>
      </c>
      <c r="AL127" s="34"/>
    </row>
    <row r="128" spans="2:38" x14ac:dyDescent="0.3">
      <c r="B128" s="43" t="s">
        <v>100</v>
      </c>
      <c r="C128" s="6" t="s">
        <v>98</v>
      </c>
      <c r="D128" s="44">
        <f t="shared" si="9"/>
        <v>393</v>
      </c>
      <c r="E128" s="6" t="s">
        <v>57</v>
      </c>
      <c r="F128" s="9">
        <f>Y128+SUMIFS('บันทึกของเข้า-ออก'!$J:$J,'บันทึกของเข้า-ออก'!$B:$B,สรุป!$C128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8" s="9">
        <f>Z128+SUMIFS('บันทึกของเข้า-ออก'!$J:$J,'บันทึกของเข้า-ออก'!$B:$B,สรุป!$C128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8" s="9">
        <f>AA128+SUMIFS('บันทึกของเข้า-ออก'!$J:$J,'บันทึกของเข้า-ออก'!$B:$B,สรุป!$C128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8" s="9">
        <f>AB128+SUMIFS('บันทึกของเข้า-ออก'!$J:$J,'บันทึกของเข้า-ออก'!$B:$B,สรุป!$C128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8" s="57">
        <f>AC128+SUMIFS('บันทึกของเข้า-ออก'!$J:$J,'บันทึกของเข้า-ออก'!$B:$B,สรุป!$C128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28" s="9">
        <f>AD128+SUMIFS('บันทึกของเข้า-ออก'!$J:$J,'บันทึกของเข้า-ออก'!$B:$B,สรุป!$C128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8" s="9">
        <f>AE128+SUMIFS('บันทึกของเข้า-ออก'!$J:$J,'บันทึกของเข้า-ออก'!$B:$B,สรุป!$C128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8" s="9">
        <f>AF128+SUMIFS('บันทึกของเข้า-ออก'!$J:$J,'บันทึกของเข้า-ออก'!$B:$B,สรุป!$C128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M$5,'บันทึกของเข้า-ออก'!$D:$D,"&gt;="&amp;สรุป!$F$2,'บันทึกของเข้า-ออก'!$D:$D,"&lt;="&amp;สรุป!$G$2)</f>
        <v>190</v>
      </c>
      <c r="N128" s="9">
        <f>AG128+SUMIFS('บันทึกของเข้า-ออก'!$J:$J,'บันทึกของเข้า-ออก'!$B:$B,สรุป!$C128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8" s="9">
        <f>AH128+SUMIFS('บันทึกของเข้า-ออก'!$J:$J,'บันทึกของเข้า-ออก'!$B:$B,สรุป!$C128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O$5,'บันทึกของเข้า-ออก'!$D:$D,"&gt;="&amp;สรุป!$F$2,'บันทึกของเข้า-ออก'!$D:$D,"&lt;="&amp;สรุป!$G$2)</f>
        <v>203</v>
      </c>
      <c r="P128" s="9">
        <f>AI128+SUMIFS('บันทึกของเข้า-ออก'!$J:$J,'บันทึกของเข้า-ออก'!$B:$B,สรุป!$C128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8" s="9">
        <f>AJ128+SUMIFS('บันทึกของเข้า-ออก'!$J:$J,'บันทึกของเข้า-ออก'!$B:$B,สรุป!$C128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8" s="9">
        <f>AK128+SUMIFS('บันทึกของเข้า-ออก'!$J:$J,'บันทึกของเข้า-ออก'!$B:$B,สรุป!$C128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8" s="26"/>
      <c r="T128" s="33"/>
      <c r="U128" s="34"/>
      <c r="V128" s="25" t="str">
        <f t="shared" si="11"/>
        <v>เหล็กแป๊บกลม 1 1/2 นิ้ว 2.00 ม.</v>
      </c>
      <c r="W128" s="44">
        <v>393</v>
      </c>
      <c r="X128" s="35" t="s">
        <v>57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190</v>
      </c>
      <c r="AG128" s="26">
        <v>0</v>
      </c>
      <c r="AH128" s="26">
        <v>203</v>
      </c>
      <c r="AI128" s="26">
        <v>0</v>
      </c>
      <c r="AJ128" s="26">
        <v>0</v>
      </c>
      <c r="AK128" s="26">
        <v>0</v>
      </c>
      <c r="AL128" s="34"/>
    </row>
    <row r="129" spans="2:43" x14ac:dyDescent="0.3">
      <c r="B129" s="43" t="s">
        <v>100</v>
      </c>
      <c r="C129" s="6" t="s">
        <v>106</v>
      </c>
      <c r="D129" s="44">
        <f t="shared" si="9"/>
        <v>53</v>
      </c>
      <c r="E129" s="6" t="s">
        <v>55</v>
      </c>
      <c r="F129" s="9">
        <f>Y129+SUMIFS('บันทึกของเข้า-ออก'!$J:$J,'บันทึกของเข้า-ออก'!$B:$B,สรุป!$C129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29" s="9">
        <f>Z129+SUMIFS('บันทึกของเข้า-ออก'!$J:$J,'บันทึกของเข้า-ออก'!$B:$B,สรุป!$C129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29" s="9">
        <f>AA129+SUMIFS('บันทึกของเข้า-ออก'!$J:$J,'บันทึกของเข้า-ออก'!$B:$B,สรุป!$C129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29" s="9">
        <f>AB129+SUMIFS('บันทึกของเข้า-ออก'!$J:$J,'บันทึกของเข้า-ออก'!$B:$B,สรุป!$C129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29" s="57">
        <f>AC129+SUMIFS('บันทึกของเข้า-ออก'!$J:$J,'บันทึกของเข้า-ออก'!$B:$B,สรุป!$C129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J$5,'บันทึกของเข้า-ออก'!$D:$D,"&gt;="&amp;สรุป!$F$2,'บันทึกของเข้า-ออก'!$D:$D,"&lt;="&amp;สรุป!$G$2)</f>
        <v>-13</v>
      </c>
      <c r="K129" s="9">
        <f>AD129+SUMIFS('บันทึกของเข้า-ออก'!$J:$J,'บันทึกของเข้า-ออก'!$B:$B,สรุป!$C129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29" s="9">
        <f>AE129+SUMIFS('บันทึกของเข้า-ออก'!$J:$J,'บันทึกของเข้า-ออก'!$B:$B,สรุป!$C129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29" s="9">
        <f>AF129+SUMIFS('บันทึกของเข้า-ออก'!$J:$J,'บันทึกของเข้า-ออก'!$B:$B,สรุป!$C129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29" s="9">
        <f>AG129+SUMIFS('บันทึกของเข้า-ออก'!$J:$J,'บันทึกของเข้า-ออก'!$B:$B,สรุป!$C129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29" s="9">
        <f>AH129+SUMIFS('บันทึกของเข้า-ออก'!$J:$J,'บันทึกของเข้า-ออก'!$B:$B,สรุป!$C129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O$5,'บันทึกของเข้า-ออก'!$D:$D,"&gt;="&amp;สรุป!$F$2,'บันทึกของเข้า-ออก'!$D:$D,"&lt;="&amp;สรุป!$G$2)</f>
        <v>53</v>
      </c>
      <c r="P129" s="9">
        <f>AI129+SUMIFS('บันทึกของเข้า-ออก'!$J:$J,'บันทึกของเข้า-ออก'!$B:$B,สรุป!$C129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29" s="9">
        <f>AJ129+SUMIFS('บันทึกของเข้า-ออก'!$J:$J,'บันทึกของเข้า-ออก'!$B:$B,สรุป!$C129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29" s="9">
        <f>AK129+SUMIFS('บันทึกของเข้า-ออก'!$J:$J,'บันทึกของเข้า-ออก'!$B:$B,สรุป!$C129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129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29" s="26"/>
      <c r="T129" s="33"/>
      <c r="U129" s="34"/>
      <c r="V129" s="25" t="str">
        <f t="shared" si="11"/>
        <v>เหล็กแป๊บกลม 1 1/2 นิ้ว 3.00 ม.</v>
      </c>
      <c r="W129" s="44">
        <v>169</v>
      </c>
      <c r="X129" s="35" t="s">
        <v>55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0</v>
      </c>
      <c r="AH129" s="26">
        <v>40</v>
      </c>
      <c r="AI129" s="26">
        <v>0</v>
      </c>
      <c r="AJ129" s="26">
        <v>0</v>
      </c>
      <c r="AK129" s="26">
        <v>0</v>
      </c>
      <c r="AL129" s="34"/>
    </row>
    <row r="130" spans="2:43" x14ac:dyDescent="0.3">
      <c r="B130" s="43" t="s">
        <v>100</v>
      </c>
      <c r="C130" s="6" t="s">
        <v>246</v>
      </c>
      <c r="D130" s="44">
        <f t="shared" si="9"/>
        <v>1</v>
      </c>
      <c r="E130" s="6" t="s">
        <v>55</v>
      </c>
      <c r="F130" s="9">
        <f>Y130+SUMIFS('บันทึกของเข้า-ออก'!$J:$J,'บันทึกของเข้า-ออก'!$B:$B,สรุป!$C130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F$5,'บันทึกของเข้า-ออก'!$D:$D,"&gt;="&amp;สรุป!$F$2,'บันทึกของเข้า-ออก'!$D:$D,"&lt;="&amp;สรุป!$G$2)</f>
        <v>1</v>
      </c>
      <c r="G130" s="9">
        <f>Z130+SUMIFS('บันทึกของเข้า-ออก'!$J:$J,'บันทึกของเข้า-ออก'!$B:$B,สรุป!$C130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0" s="9">
        <f>AA130+SUMIFS('บันทึกของเข้า-ออก'!$J:$J,'บันทึกของเข้า-ออก'!$B:$B,สรุป!$C130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0" s="9">
        <f>AB130+SUMIFS('บันทึกของเข้า-ออก'!$J:$J,'บันทึกของเข้า-ออก'!$B:$B,สรุป!$C130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0" s="57">
        <f>AC130+SUMIFS('บันทึกของเข้า-ออก'!$J:$J,'บันทึกของเข้า-ออก'!$B:$B,สรุป!$C130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J$5,'บันทึกของเข้า-ออก'!$D:$D,"&gt;="&amp;สรุป!$F$2,'บันทึกของเข้า-ออก'!$D:$D,"&lt;="&amp;สรุป!$G$2)</f>
        <v>-1</v>
      </c>
      <c r="K130" s="9">
        <f>AD130+SUMIFS('บันทึกของเข้า-ออก'!$J:$J,'บันทึกของเข้า-ออก'!$B:$B,สรุป!$C130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0" s="9">
        <f>AE130+SUMIFS('บันทึกของเข้า-ออก'!$J:$J,'บันทึกของเข้า-ออก'!$B:$B,สรุป!$C130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0" s="9">
        <f>AF130+SUMIFS('บันทึกของเข้า-ออก'!$J:$J,'บันทึกของเข้า-ออก'!$B:$B,สรุป!$C130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30" s="9">
        <f>AG130+SUMIFS('บันทึกของเข้า-ออก'!$J:$J,'บันทึกของเข้า-ออก'!$B:$B,สรุป!$C130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0" s="9">
        <f>AH130+SUMIFS('บันทึกของเข้า-ออก'!$J:$J,'บันทึกของเข้า-ออก'!$B:$B,สรุป!$C130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30" s="9">
        <f>AI130+SUMIFS('บันทึกของเข้า-ออก'!$J:$J,'บันทึกของเข้า-ออก'!$B:$B,สรุป!$C130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0" s="9">
        <f>AJ130+SUMIFS('บันทึกของเข้า-ออก'!$J:$J,'บันทึกของเข้า-ออก'!$B:$B,สรุป!$C130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0" s="9">
        <f>AK130+SUMIFS('บันทึกของเข้า-ออก'!$J:$J,'บันทึกของเข้า-ออก'!$B:$B,สรุป!$C130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0" s="26"/>
      <c r="T130" s="33"/>
      <c r="U130" s="34"/>
      <c r="V130" s="25" t="str">
        <f t="shared" si="11"/>
        <v>เหล็กแป๊บกลม 1 1/2 นิ้ว 4.00 ม.</v>
      </c>
      <c r="W130" s="44">
        <v>61</v>
      </c>
      <c r="X130" s="35" t="s">
        <v>55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34"/>
    </row>
    <row r="131" spans="2:43" x14ac:dyDescent="0.3">
      <c r="B131" s="43" t="s">
        <v>100</v>
      </c>
      <c r="C131" s="6" t="s">
        <v>94</v>
      </c>
      <c r="D131" s="44">
        <f t="shared" si="9"/>
        <v>449</v>
      </c>
      <c r="E131" s="6" t="s">
        <v>57</v>
      </c>
      <c r="F131" s="9">
        <f>Y131+SUMIFS('บันทึกของเข้า-ออก'!$J:$J,'บันทึกของเข้า-ออก'!$B:$B,สรุป!$C131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F$5,'บันทึกของเข้า-ออก'!$D:$D,"&gt;="&amp;สรุป!$F$2,'บันทึกของเข้า-ออก'!$D:$D,"&lt;="&amp;สรุป!$G$2)</f>
        <v>3</v>
      </c>
      <c r="G131" s="9">
        <f>Z131+SUMIFS('บันทึกของเข้า-ออก'!$J:$J,'บันทึกของเข้า-ออก'!$B:$B,สรุป!$C131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1" s="9">
        <f>AA131+SUMIFS('บันทึกของเข้า-ออก'!$J:$J,'บันทึกของเข้า-ออก'!$B:$B,สรุป!$C131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1" s="9">
        <f>AB131+SUMIFS('บันทึกของเข้า-ออก'!$J:$J,'บันทึกของเข้า-ออก'!$B:$B,สรุป!$C131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I$5,'บันทึกของเข้า-ออก'!$D:$D,"&gt;="&amp;สรุป!$F$2,'บันทึกของเข้า-ออก'!$D:$D,"&lt;="&amp;สรุป!$G$2)</f>
        <v>2</v>
      </c>
      <c r="J131" s="57">
        <f>AC131+SUMIFS('บันทึกของเข้า-ออก'!$J:$J,'บันทึกของเข้า-ออก'!$B:$B,สรุป!$C131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J$5,'บันทึกของเข้า-ออก'!$D:$D,"&gt;="&amp;สรุป!$F$2,'บันทึกของเข้า-ออก'!$D:$D,"&lt;="&amp;สรุป!$G$2)</f>
        <v>-3</v>
      </c>
      <c r="K131" s="9">
        <f>AD131+SUMIFS('บันทึกของเข้า-ออก'!$J:$J,'บันทึกของเข้า-ออก'!$B:$B,สรุป!$C131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1" s="9">
        <f>AE131+SUMIFS('บันทึกของเข้า-ออก'!$J:$J,'บันทึกของเข้า-ออก'!$B:$B,สรุป!$C131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1" s="9">
        <f>AF131+SUMIFS('บันทึกของเข้า-ออก'!$J:$J,'บันทึกของเข้า-ออก'!$B:$B,สรุป!$C131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M$5,'บันทึกของเข้า-ออก'!$D:$D,"&gt;="&amp;สรุป!$F$2,'บันทึกของเข้า-ออก'!$D:$D,"&lt;="&amp;สรุป!$G$2)</f>
        <v>10</v>
      </c>
      <c r="N131" s="9">
        <f>AG131+SUMIFS('บันทึกของเข้า-ออก'!$J:$J,'บันทึกของเข้า-ออก'!$B:$B,สรุป!$C131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N$5,'บันทึกของเข้า-ออก'!$D:$D,"&gt;="&amp;สรุป!$F$2,'บันทึกของเข้า-ออก'!$D:$D,"&lt;="&amp;สรุป!$G$2)</f>
        <v>6</v>
      </c>
      <c r="O131" s="9">
        <f>AH131+SUMIFS('บันทึกของเข้า-ออก'!$J:$J,'บันทึกของเข้า-ออก'!$B:$B,สรุป!$C131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O$5,'บันทึกของเข้า-ออก'!$D:$D,"&gt;="&amp;สรุป!$F$2,'บันทึกของเข้า-ออก'!$D:$D,"&lt;="&amp;สรุป!$G$2)</f>
        <v>428</v>
      </c>
      <c r="P131" s="9">
        <f>AI131+SUMIFS('บันทึกของเข้า-ออก'!$J:$J,'บันทึกของเข้า-ออก'!$B:$B,สรุป!$C131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1" s="9">
        <f>AJ131+SUMIFS('บันทึกของเข้า-ออก'!$J:$J,'บันทึกของเข้า-ออก'!$B:$B,สรุป!$C131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1" s="9">
        <f>AK131+SUMIFS('บันทึกของเข้า-ออก'!$J:$J,'บันทึกของเข้า-ออก'!$B:$B,สรุป!$C131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1" s="26"/>
      <c r="T131" s="33"/>
      <c r="U131" s="34"/>
      <c r="V131" s="25" t="str">
        <f t="shared" si="11"/>
        <v>เหล็กแป๊บกลม 1 1/2 นิ้ว 6.00 ม.</v>
      </c>
      <c r="W131" s="86">
        <v>446</v>
      </c>
      <c r="X131" s="35" t="s">
        <v>57</v>
      </c>
      <c r="Y131" s="26">
        <v>0</v>
      </c>
      <c r="Z131" s="26">
        <v>0</v>
      </c>
      <c r="AA131" s="26">
        <v>0</v>
      </c>
      <c r="AB131" s="26">
        <v>2</v>
      </c>
      <c r="AC131" s="26">
        <v>99</v>
      </c>
      <c r="AD131" s="26">
        <v>0</v>
      </c>
      <c r="AE131" s="26">
        <v>0</v>
      </c>
      <c r="AF131" s="26">
        <v>78</v>
      </c>
      <c r="AG131" s="26">
        <v>6</v>
      </c>
      <c r="AH131" s="26">
        <v>71</v>
      </c>
      <c r="AI131" s="26">
        <v>0</v>
      </c>
      <c r="AJ131" s="26">
        <v>0</v>
      </c>
      <c r="AK131" s="26">
        <v>0</v>
      </c>
      <c r="AL131" s="34"/>
    </row>
    <row r="132" spans="2:43" x14ac:dyDescent="0.3">
      <c r="B132" s="43" t="s">
        <v>100</v>
      </c>
      <c r="C132" s="6" t="s">
        <v>279</v>
      </c>
      <c r="D132" s="44">
        <f t="shared" si="9"/>
        <v>102</v>
      </c>
      <c r="E132" s="6" t="s">
        <v>56</v>
      </c>
      <c r="F132" s="9">
        <f>Y132+SUMIFS('บันทึกของเข้า-ออก'!$J:$J,'บันทึกของเข้า-ออก'!$B:$B,สรุป!$C132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32" s="9">
        <f>Z132+SUMIFS('บันทึกของเข้า-ออก'!$J:$J,'บันทึกของเข้า-ออก'!$B:$B,สรุป!$C132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2" s="9">
        <f>AA132+SUMIFS('บันทึกของเข้า-ออก'!$J:$J,'บันทึกของเข้า-ออก'!$B:$B,สรุป!$C132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H$5,'บันทึกของเข้า-ออก'!$D:$D,"&gt;="&amp;สรุป!$F$2,'บันทึกของเข้า-ออก'!$D:$D,"&lt;="&amp;สรุป!$G$2)</f>
        <v>102</v>
      </c>
      <c r="I132" s="9">
        <f>AB132+SUMIFS('บันทึกของเข้า-ออก'!$J:$J,'บันทึกของเข้า-ออก'!$B:$B,สรุป!$C132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2" s="9">
        <f>AC132+SUMIFS('บันทึกของเข้า-ออก'!$J:$J,'บันทึกของเข้า-ออก'!$B:$B,สรุป!$C132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32" s="9">
        <f>AD132+SUMIFS('บันทึกของเข้า-ออก'!$J:$J,'บันทึกของเข้า-ออก'!$B:$B,สรุป!$C132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2" s="9">
        <f>AE132+SUMIFS('บันทึกของเข้า-ออก'!$J:$J,'บันทึกของเข้า-ออก'!$B:$B,สรุป!$C132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2" s="9">
        <f>AF132+SUMIFS('บันทึกของเข้า-ออก'!$J:$J,'บันทึกของเข้า-ออก'!$B:$B,สรุป!$C132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32" s="9">
        <f>AG132+SUMIFS('บันทึกของเข้า-ออก'!$J:$J,'บันทึกของเข้า-ออก'!$B:$B,สรุป!$C132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2" s="9">
        <f>AH132+SUMIFS('บันทึกของเข้า-ออก'!$J:$J,'บันทึกของเข้า-ออก'!$B:$B,สรุป!$C132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32" s="9">
        <f>AI132+SUMIFS('บันทึกของเข้า-ออก'!$J:$J,'บันทึกของเข้า-ออก'!$B:$B,สรุป!$C132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2" s="9">
        <f>AJ132+SUMIFS('บันทึกของเข้า-ออก'!$J:$J,'บันทึกของเข้า-ออก'!$B:$B,สรุป!$C132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2" s="9">
        <f>AK132+SUMIFS('บันทึกของเข้า-ออก'!$J:$J,'บันทึกของเข้า-ออก'!$B:$B,สรุป!$C132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2" s="26"/>
      <c r="T132" s="33"/>
      <c r="U132" s="34"/>
      <c r="V132" s="25" t="str">
        <f t="shared" si="11"/>
        <v>ยูเฮด 20 เซน</v>
      </c>
      <c r="W132" s="44">
        <v>102</v>
      </c>
      <c r="X132" s="35" t="s">
        <v>56</v>
      </c>
      <c r="Y132" s="26">
        <v>0</v>
      </c>
      <c r="Z132" s="26">
        <v>0</v>
      </c>
      <c r="AA132" s="26">
        <v>102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  <c r="AG132" s="26">
        <v>0</v>
      </c>
      <c r="AH132" s="26"/>
      <c r="AI132" s="26">
        <v>0</v>
      </c>
      <c r="AJ132" s="26">
        <v>0</v>
      </c>
      <c r="AK132" s="26">
        <v>0</v>
      </c>
      <c r="AL132" s="34"/>
    </row>
    <row r="133" spans="2:43" x14ac:dyDescent="0.3">
      <c r="B133" s="43" t="s">
        <v>100</v>
      </c>
      <c r="C133" s="6" t="s">
        <v>21</v>
      </c>
      <c r="D133" s="44">
        <f t="shared" si="9"/>
        <v>718</v>
      </c>
      <c r="E133" s="6" t="s">
        <v>56</v>
      </c>
      <c r="F133" s="9">
        <f>Y133+SUMIFS('บันทึกของเข้า-ออก'!$J:$J,'บันทึกของเข้า-ออก'!$B:$B,สรุป!$C133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F$5,'บันทึกของเข้า-ออก'!$D:$D,"&gt;="&amp;สรุป!$F$2,'บันทึกของเข้า-ออก'!$D:$D,"&lt;="&amp;สรุป!$G$2)</f>
        <v>-49</v>
      </c>
      <c r="G133" s="9">
        <v>78</v>
      </c>
      <c r="H133" s="9">
        <f>AA133+SUMIFS('บันทึกของเข้า-ออก'!$J:$J,'บันทึกของเข้า-ออก'!$B:$B,สรุป!$C133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3" s="9">
        <f>AB133+SUMIFS('บันทึกของเข้า-ออก'!$J:$J,'บันทึกของเข้า-ออก'!$B:$B,สรุป!$C133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3" s="57">
        <f>AC133+SUMIFS('บันทึกของเข้า-ออก'!$J:$J,'บันทึกของเข้า-ออก'!$B:$B,สรุป!$C133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J$5,'บันทึกของเข้า-ออก'!$D:$D,"&gt;="&amp;สรุป!$F$2,'บันทึกของเข้า-ออก'!$D:$D,"&lt;="&amp;สรุป!$G$2)</f>
        <v>-86</v>
      </c>
      <c r="K133" s="9">
        <f>AD133+SUMIFS('บันทึกของเข้า-ออก'!$J:$J,'บันทึกของเข้า-ออก'!$B:$B,สรุป!$C133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3" s="9">
        <f>AE133+SUMIFS('บันทึกของเข้า-ออก'!$J:$J,'บันทึกของเข้า-ออก'!$B:$B,สรุป!$C133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3" s="9">
        <v>12</v>
      </c>
      <c r="N133" s="9"/>
      <c r="O133" s="9">
        <f>AH133+SUMIFS('บันทึกของเข้า-ออก'!$J:$J,'บันทึกของเข้า-ออก'!$B:$B,สรุป!$C133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O$5,'บันทึกของเข้า-ออก'!$D:$D,"&gt;="&amp;สรุป!$F$2,'บันทึกของเข้า-ออก'!$D:$D,"&lt;="&amp;สรุป!$G$2)</f>
        <v>628</v>
      </c>
      <c r="P133" s="9">
        <f>AI133+SUMIFS('บันทึกของเข้า-ออก'!$J:$J,'บันทึกของเข้า-ออก'!$B:$B,สรุป!$C133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3" s="9">
        <f>AJ133+SUMIFS('บันทึกของเข้า-ออก'!$J:$J,'บันทึกของเข้า-ออก'!$B:$B,สรุป!$C133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3" s="9">
        <f>AK133+SUMIFS('บันทึกของเข้า-ออก'!$J:$J,'บันทึกของเข้า-ออก'!$B:$B,สรุป!$C133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3" s="26"/>
      <c r="T133" s="33"/>
      <c r="U133" s="34"/>
      <c r="V133" s="25" t="str">
        <f t="shared" si="11"/>
        <v>ยูเฮด</v>
      </c>
      <c r="W133" s="44">
        <v>987</v>
      </c>
      <c r="X133" s="35" t="s">
        <v>56</v>
      </c>
      <c r="Y133" s="26">
        <v>0</v>
      </c>
      <c r="Z133" s="26">
        <v>0</v>
      </c>
      <c r="AA133" s="26">
        <v>75</v>
      </c>
      <c r="AB133" s="26">
        <v>0</v>
      </c>
      <c r="AC133" s="26">
        <v>0</v>
      </c>
      <c r="AD133" s="26">
        <v>0</v>
      </c>
      <c r="AE133" s="26">
        <v>0</v>
      </c>
      <c r="AF133" s="26">
        <v>112</v>
      </c>
      <c r="AG133" s="26">
        <v>78</v>
      </c>
      <c r="AH133" s="26">
        <v>219</v>
      </c>
      <c r="AI133" s="26">
        <v>0</v>
      </c>
      <c r="AJ133" s="26">
        <v>0</v>
      </c>
      <c r="AK133" s="26">
        <v>0</v>
      </c>
      <c r="AL133" s="34"/>
    </row>
    <row r="134" spans="2:43" x14ac:dyDescent="0.3">
      <c r="B134" s="43" t="s">
        <v>100</v>
      </c>
      <c r="C134" s="6" t="s">
        <v>22</v>
      </c>
      <c r="D134" s="44">
        <f t="shared" si="9"/>
        <v>461</v>
      </c>
      <c r="E134" s="6" t="s">
        <v>56</v>
      </c>
      <c r="F134" s="9">
        <f>Y134+SUMIFS('บันทึกของเข้า-ออก'!$J:$J,'บันทึกของเข้า-ออก'!$B:$B,สรุป!$C134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F$5,'บันทึกของเข้า-ออก'!$D:$D,"&gt;="&amp;สรุป!$F$2,'บันทึกของเข้า-ออก'!$D:$D,"&lt;="&amp;สรุป!$G$2)</f>
        <v>6</v>
      </c>
      <c r="G134" s="9">
        <f>Z134+SUMIFS('บันทึกของเข้า-ออก'!$J:$J,'บันทึกของเข้า-ออก'!$B:$B,สรุป!$C134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4" s="9">
        <f>AA134+SUMIFS('บันทึกของเข้า-ออก'!$J:$J,'บันทึกของเข้า-ออก'!$B:$B,สรุป!$C134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4" s="9">
        <f>AB134+SUMIFS('บันทึกของเข้า-ออก'!$J:$J,'บันทึกของเข้า-ออก'!$B:$B,สรุป!$C134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4" s="57">
        <f>AC134+SUMIFS('บันทึกของเข้า-ออก'!$J:$J,'บันทึกของเข้า-ออก'!$B:$B,สรุป!$C134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J$5,'บันทึกของเข้า-ออก'!$D:$D,"&gt;="&amp;สรุป!$F$2,'บันทึกของเข้า-ออก'!$D:$D,"&lt;="&amp;สรุป!$G$2)</f>
        <v>-48</v>
      </c>
      <c r="K134" s="9">
        <f>AD134+SUMIFS('บันทึกของเข้า-ออก'!$J:$J,'บันทึกของเข้า-ออก'!$B:$B,สรุป!$C134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4" s="9">
        <f>AE134+SUMIFS('บันทึกของเข้า-ออก'!$J:$J,'บันทึกของเข้า-ออก'!$B:$B,สรุป!$C134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4" s="9">
        <v>72</v>
      </c>
      <c r="N134" s="9">
        <f>AG134+SUMIFS('บันทึกของเข้า-ออก'!$J:$J,'บันทึกของเข้า-ออก'!$B:$B,สรุป!$C134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4" s="9">
        <f>AH134+SUMIFS('บันทึกของเข้า-ออก'!$J:$J,'บันทึกของเข้า-ออก'!$B:$B,สรุป!$C134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O$5,'บันทึกของเข้า-ออก'!$D:$D,"&gt;="&amp;สรุป!$F$2,'บันทึกของเข้า-ออก'!$D:$D,"&lt;="&amp;สรุป!$G$2)</f>
        <v>383</v>
      </c>
      <c r="P134" s="9">
        <f>AI134+SUMIFS('บันทึกของเข้า-ออก'!$J:$J,'บันทึกของเข้า-ออก'!$B:$B,สรุป!$C134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4" s="9">
        <f>AJ134+SUMIFS('บันทึกของเข้า-ออก'!$J:$J,'บันทึกของเข้า-ออก'!$B:$B,สรุป!$C134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4" s="9">
        <f>AK134+SUMIFS('บันทึกของเข้า-ออก'!$J:$J,'บันทึกของเข้า-ออก'!$B:$B,สรุป!$C134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4" s="26"/>
      <c r="T134" s="33"/>
      <c r="U134" s="34"/>
      <c r="V134" s="25" t="str">
        <f t="shared" si="11"/>
        <v>แจ็คเบส</v>
      </c>
      <c r="W134" s="44">
        <v>369</v>
      </c>
      <c r="X134" s="35" t="s">
        <v>56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112</v>
      </c>
      <c r="AG134" s="26">
        <v>0</v>
      </c>
      <c r="AH134" s="26">
        <v>123</v>
      </c>
      <c r="AI134" s="26">
        <v>0</v>
      </c>
      <c r="AJ134" s="26">
        <v>0</v>
      </c>
      <c r="AK134" s="26">
        <v>0</v>
      </c>
      <c r="AL134" s="34"/>
    </row>
    <row r="135" spans="2:43" s="66" customFormat="1" x14ac:dyDescent="0.3">
      <c r="B135" s="43" t="s">
        <v>100</v>
      </c>
      <c r="C135" s="6" t="s">
        <v>23</v>
      </c>
      <c r="D135" s="62">
        <f t="shared" si="9"/>
        <v>3662</v>
      </c>
      <c r="E135" s="6" t="s">
        <v>56</v>
      </c>
      <c r="F135" s="57">
        <f>Y135+SUMIFS('บันทึกของเข้า-ออก'!$J:$J,'บันทึกของเข้า-ออก'!$B:$B,สรุป!$C135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35" s="57">
        <f>Z135+SUMIFS('บันทึกของเข้า-ออก'!$J:$J,'บันทึกของเข้า-ออก'!$B:$B,สรุป!$C135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G$5,'บันทึกของเข้า-ออก'!$D:$D,"&gt;="&amp;สรุป!$F$2,'บันทึกของเข้า-ออก'!$D:$D,"&lt;="&amp;สรุป!$G$2)</f>
        <v>240</v>
      </c>
      <c r="H135" s="57">
        <f>AA135+SUMIFS('บันทึกของเข้า-ออก'!$J:$J,'บันทึกของเข้า-ออก'!$B:$B,สรุป!$C135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H$5,'บันทึกของเข้า-ออก'!$D:$D,"&gt;="&amp;สรุป!$F$2,'บันทึกของเข้า-ออก'!$D:$D,"&lt;="&amp;สรุป!$G$2)</f>
        <v>951</v>
      </c>
      <c r="I135" s="57">
        <f>AB135+SUMIFS('บันทึกของเข้า-ออก'!$J:$J,'บันทึกของเข้า-ออก'!$B:$B,สรุป!$C135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5" s="57">
        <v>68</v>
      </c>
      <c r="K135" s="57">
        <f>AD135+SUMIFS('บันทึกของเข้า-ออก'!$J:$J,'บันทึกของเข้า-ออก'!$B:$B,สรุป!$C135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5" s="57">
        <f>AE135+SUMIFS('บันทึกของเข้า-ออก'!$J:$J,'บันทึกของเข้า-ออก'!$B:$B,สรุป!$C135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5" s="57">
        <v>80</v>
      </c>
      <c r="N135" s="9">
        <f>AG135+SUMIFS('บันทึกของเข้า-ออก'!$J:$J,'บันทึกของเข้า-ออก'!$B:$B,สรุป!$C135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N$5,'บันทึกของเข้า-ออก'!$D:$D,"&gt;="&amp;สรุป!$F$2,'บันทึกของเข้า-ออก'!$D:$D,"&lt;="&amp;สรุป!$G$2)</f>
        <v>150</v>
      </c>
      <c r="O135" s="9">
        <f>AH135+SUMIFS('บันทึกของเข้า-ออก'!$J:$J,'บันทึกของเข้า-ออก'!$B:$B,สรุป!$C135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O$5,'บันทึกของเข้า-ออก'!$D:$D,"&gt;="&amp;สรุป!$F$2,'บันทึกของเข้า-ออก'!$D:$D,"&lt;="&amp;สรุป!$G$2)</f>
        <v>2173</v>
      </c>
      <c r="P135" s="9">
        <f>AI135+SUMIFS('บันทึกของเข้า-ออก'!$J:$J,'บันทึกของเข้า-ออก'!$B:$B,สรุป!$C135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5" s="57">
        <f>AJ135+SUMIFS('บันทึกของเข้า-ออก'!$J:$J,'บันทึกของเข้า-ออก'!$B:$B,สรุป!$C135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5" s="57">
        <f>AK135+SUMIFS('บันทึกของเข้า-ออก'!$J:$J,'บันทึกของเข้า-ออก'!$B:$B,สรุป!$C135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5" s="63"/>
      <c r="T135" s="33"/>
      <c r="U135" s="34"/>
      <c r="V135" s="25" t="s">
        <v>23</v>
      </c>
      <c r="W135" s="62">
        <v>1620</v>
      </c>
      <c r="X135" s="65" t="s">
        <v>56</v>
      </c>
      <c r="Y135" s="63">
        <v>0</v>
      </c>
      <c r="Z135" s="63">
        <v>0</v>
      </c>
      <c r="AA135" s="63">
        <v>2811</v>
      </c>
      <c r="AB135" s="63">
        <v>0</v>
      </c>
      <c r="AC135" s="63">
        <v>150</v>
      </c>
      <c r="AD135" s="63">
        <v>0</v>
      </c>
      <c r="AE135" s="63">
        <v>0</v>
      </c>
      <c r="AF135" s="63">
        <v>80</v>
      </c>
      <c r="AG135" s="63">
        <v>150</v>
      </c>
      <c r="AH135" s="63">
        <v>450</v>
      </c>
      <c r="AI135" s="63">
        <v>0</v>
      </c>
      <c r="AJ135" s="63">
        <v>0</v>
      </c>
      <c r="AK135" s="63">
        <v>0</v>
      </c>
      <c r="AL135" s="64"/>
    </row>
    <row r="136" spans="2:43" x14ac:dyDescent="0.3">
      <c r="B136" s="43" t="s">
        <v>100</v>
      </c>
      <c r="C136" s="6" t="s">
        <v>20</v>
      </c>
      <c r="D136" s="44">
        <f t="shared" si="9"/>
        <v>1326</v>
      </c>
      <c r="E136" s="6" t="s">
        <v>56</v>
      </c>
      <c r="F136" s="9">
        <f>Y136+SUMIFS('บันทึกของเข้า-ออก'!$J:$J,'บันทึกของเข้า-ออก'!$B:$B,สรุป!$C136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F$5,'บันทึกของเข้า-ออก'!$D:$D,"&gt;="&amp;สรุป!$F$2,'บันทึกของเข้า-ออก'!$D:$D,"&lt;="&amp;สรุป!$G$2)</f>
        <v>30</v>
      </c>
      <c r="G136" s="9">
        <f>Z136+SUMIFS('บันทึกของเข้า-ออก'!$J:$J,'บันทึกของเข้า-ออก'!$B:$B,สรุป!$C136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6" s="9">
        <f>AA136+SUMIFS('บันทึกของเข้า-ออก'!$J:$J,'บันทึกของเข้า-ออก'!$B:$B,สรุป!$C136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H$5,'บันทึกของเข้า-ออก'!$D:$D,"&gt;="&amp;สรุป!$F$2,'บันทึกของเข้า-ออก'!$D:$D,"&lt;="&amp;สรุป!$G$2)</f>
        <v>-140</v>
      </c>
      <c r="I136" s="9">
        <f>AB136+SUMIFS('บันทึกของเข้า-ออก'!$J:$J,'บันทึกของเข้า-ออก'!$B:$B,สรุป!$C136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6" s="57">
        <f>AC136+SUMIFS('บันทึกของเข้า-ออก'!$J:$J,'บันทึกของเข้า-ออก'!$B:$B,สรุป!$C136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J$5,'บันทึกของเข้า-ออก'!$D:$D,"&gt;="&amp;สรุป!$F$2,'บันทึกของเข้า-ออก'!$D:$D,"&lt;="&amp;สรุป!$G$2)</f>
        <v>80</v>
      </c>
      <c r="K136" s="9">
        <f>AD136+SUMIFS('บันทึกของเข้า-ออก'!$J:$J,'บันทึกของเข้า-ออก'!$B:$B,สรุป!$C136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K$5,'บันทึกของเข้า-ออก'!$D:$D,"&gt;="&amp;สรุป!$F$2,'บันทึกของเข้า-ออก'!$D:$D,"&lt;="&amp;สรุป!$G$2)</f>
        <v>18</v>
      </c>
      <c r="L136" s="9">
        <f>AE136+SUMIFS('บันทึกของเข้า-ออก'!$J:$J,'บันทึกของเข้า-ออก'!$B:$B,สรุป!$C136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6" s="9">
        <v>74</v>
      </c>
      <c r="N136" s="9">
        <f>AG136+SUMIFS('บันทึกของเข้า-ออก'!$J:$J,'บันทึกของเข้า-ออก'!$B:$B,สรุป!$C136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N$5,'บันทึกของเข้า-ออก'!$D:$D,"&gt;="&amp;สรุป!$F$2,'บันทึกของเข้า-ออก'!$D:$D,"&lt;="&amp;สรุป!$G$2)</f>
        <v>146</v>
      </c>
      <c r="O136" s="9">
        <f>AH136+SUMIFS('บันทึกของเข้า-ออก'!$J:$J,'บันทึกของเข้า-ออก'!$B:$B,สรุป!$C136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O$5,'บันทึกของเข้า-ออก'!$D:$D,"&gt;="&amp;สรุป!$F$2,'บันทึกของเข้า-ออก'!$D:$D,"&lt;="&amp;สรุป!$G$2)</f>
        <v>978</v>
      </c>
      <c r="P136" s="9">
        <f>AI136+SUMIFS('บันทึกของเข้า-ออก'!$J:$J,'บันทึกของเข้า-ออก'!$B:$B,สรุป!$C136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6" s="9">
        <f>AJ136+SUMIFS('บันทึกของเข้า-ออก'!$J:$J,'บันทึกของเข้า-ออก'!$B:$B,สรุป!$C136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6" s="9">
        <f>AK136+SUMIFS('บันทึกของเข้า-ออก'!$J:$J,'บันทึกของเข้า-ออก'!$B:$B,สรุป!$C136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6" s="26"/>
      <c r="T136" s="33"/>
      <c r="U136" s="34"/>
      <c r="V136" s="25" t="str">
        <f t="shared" ref="V136:V150" si="16">C136</f>
        <v>ข้อต่อนั่งร้าน</v>
      </c>
      <c r="W136" s="44">
        <v>1861</v>
      </c>
      <c r="X136" s="35" t="s">
        <v>56</v>
      </c>
      <c r="Y136" s="26">
        <v>0</v>
      </c>
      <c r="Z136" s="26">
        <v>0</v>
      </c>
      <c r="AA136" s="26">
        <v>210</v>
      </c>
      <c r="AB136" s="26">
        <v>0</v>
      </c>
      <c r="AC136" s="26">
        <v>260</v>
      </c>
      <c r="AD136" s="26">
        <v>18</v>
      </c>
      <c r="AE136" s="26">
        <v>0</v>
      </c>
      <c r="AF136" s="26">
        <v>314</v>
      </c>
      <c r="AG136" s="26">
        <v>52</v>
      </c>
      <c r="AH136" s="26">
        <v>400</v>
      </c>
      <c r="AI136" s="26">
        <v>0</v>
      </c>
      <c r="AJ136" s="26">
        <v>0</v>
      </c>
      <c r="AK136" s="26">
        <v>0</v>
      </c>
      <c r="AL136" s="34"/>
    </row>
    <row r="137" spans="2:43" x14ac:dyDescent="0.3">
      <c r="B137" s="43" t="s">
        <v>100</v>
      </c>
      <c r="C137" s="6" t="s">
        <v>297</v>
      </c>
      <c r="D137" s="79">
        <f t="shared" si="9"/>
        <v>10</v>
      </c>
      <c r="E137" s="6" t="s">
        <v>59</v>
      </c>
      <c r="F137" s="9">
        <f>Y137+SUMIFS('บันทึกของเข้า-ออก'!$J:$J,'บันทึกของเข้า-ออก'!$B:$B,สรุป!$C137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37" s="9">
        <f>Z137+SUMIFS('บันทึกของเข้า-ออก'!$J:$J,'บันทึกของเข้า-ออก'!$B:$B,สรุป!$C137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7" s="9">
        <f>AA137+SUMIFS('บันทึกของเข้า-ออก'!$J:$J,'บันทึกของเข้า-ออก'!$B:$B,สรุป!$C137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7" s="9">
        <f>AB137+SUMIFS('บันทึกของเข้า-ออก'!$J:$J,'บันทึกของเข้า-ออก'!$B:$B,สรุป!$C137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7" s="9">
        <v>2</v>
      </c>
      <c r="K137" s="9">
        <f>AD137+SUMIFS('บันทึกของเข้า-ออก'!$J:$J,'บันทึกของเข้า-ออก'!$B:$B,สรุป!$C137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7" s="9">
        <f>AE137+SUMIFS('บันทึกของเข้า-ออก'!$J:$J,'บันทึกของเข้า-ออก'!$B:$B,สรุป!$C137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7" s="9">
        <f>AF137+SUMIFS('บันทึกของเข้า-ออก'!$J:$J,'บันทึกของเข้า-ออก'!$B:$B,สรุป!$C137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M$5,'บันทึกของเข้า-ออก'!$D:$D,"&gt;="&amp;สรุป!$F$2,'บันทึกของเข้า-ออก'!$D:$D,"&lt;="&amp;สรุป!$G$2)</f>
        <v>6</v>
      </c>
      <c r="N137" s="9">
        <f>AG137+SUMIFS('บันทึกของเข้า-ออก'!$J:$J,'บันทึกของเข้า-ออก'!$B:$B,สรุป!$C137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7" s="9">
        <f>AH137+SUMIFS('บันทึกของเข้า-ออก'!$J:$J,'บันทึกของเข้า-ออก'!$B:$B,สรุป!$C137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137" s="9">
        <f>AI137+SUMIFS('บันทึกของเข้า-ออก'!$J:$J,'บันทึกของเข้า-ออก'!$B:$B,สรุป!$C137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7" s="9">
        <f>AJ137+SUMIFS('บันทึกของเข้า-ออก'!$J:$J,'บันทึกของเข้า-ออก'!$B:$B,สรุป!$C137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7" s="9">
        <f>AK137+SUMIFS('บันทึกของเข้า-ออก'!$J:$J,'บันทึกของเข้า-ออก'!$B:$B,สรุป!$C137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7" s="26"/>
      <c r="T137" s="33"/>
      <c r="U137" s="34"/>
      <c r="V137" s="25" t="str">
        <f t="shared" si="16"/>
        <v>แผ่นเหยียบ</v>
      </c>
      <c r="W137" s="79">
        <v>10</v>
      </c>
      <c r="X137" s="35" t="s">
        <v>59</v>
      </c>
      <c r="Y137" s="26">
        <v>0</v>
      </c>
      <c r="Z137" s="26">
        <v>0</v>
      </c>
      <c r="AA137" s="26">
        <v>0</v>
      </c>
      <c r="AB137" s="26">
        <v>0</v>
      </c>
      <c r="AC137" s="26">
        <v>2</v>
      </c>
      <c r="AD137" s="26">
        <v>0</v>
      </c>
      <c r="AE137" s="26">
        <v>0</v>
      </c>
      <c r="AF137" s="26">
        <v>6</v>
      </c>
      <c r="AG137" s="26">
        <v>0</v>
      </c>
      <c r="AH137" s="26">
        <v>1</v>
      </c>
      <c r="AI137" s="26">
        <v>0</v>
      </c>
      <c r="AJ137" s="26">
        <v>0</v>
      </c>
      <c r="AK137" s="26">
        <v>0</v>
      </c>
      <c r="AL137" s="34"/>
    </row>
    <row r="138" spans="2:43" x14ac:dyDescent="0.3">
      <c r="B138" s="43" t="s">
        <v>100</v>
      </c>
      <c r="C138" s="6" t="s">
        <v>188</v>
      </c>
      <c r="D138" s="44">
        <f t="shared" si="9"/>
        <v>40</v>
      </c>
      <c r="E138" s="6" t="s">
        <v>189</v>
      </c>
      <c r="F138" s="9">
        <v>40</v>
      </c>
      <c r="G138" s="9">
        <f>Z138+SUMIFS('บันทึกของเข้า-ออก'!$J:$J,'บันทึกของเข้า-ออก'!$B:$B,สรุป!$C138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8" s="9">
        <f>AA138+SUMIFS('บันทึกของเข้า-ออก'!$J:$J,'บันทึกของเข้า-ออก'!$B:$B,สรุป!$C138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8" s="9">
        <f>AB138+SUMIFS('บันทึกของเข้า-ออก'!$J:$J,'บันทึกของเข้า-ออก'!$B:$B,สรุป!$C138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8" s="9">
        <v>0</v>
      </c>
      <c r="K138" s="9">
        <f>AD138+SUMIFS('บันทึกของเข้า-ออก'!$J:$J,'บันทึกของเข้า-ออก'!$B:$B,สรุป!$C138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38" s="9">
        <f>AE138+SUMIFS('บันทึกของเข้า-ออก'!$J:$J,'บันทึกของเข้า-ออก'!$B:$B,สรุป!$C138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8" s="9">
        <f>AF138+SUMIFS('บันทึกของเข้า-ออก'!$J:$J,'บันทึกของเข้า-ออก'!$B:$B,สรุป!$C138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38" s="9">
        <f>AG138+SUMIFS('บันทึกของเข้า-ออก'!$J:$J,'บันทึกของเข้า-ออก'!$B:$B,สรุป!$C138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8" s="9">
        <f>AH138+SUMIFS('บันทึกของเข้า-ออก'!$J:$J,'บันทึกของเข้า-ออก'!$B:$B,สรุป!$C138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38" s="9">
        <f>AI138+SUMIFS('บันทึกของเข้า-ออก'!$J:$J,'บันทึกของเข้า-ออก'!$B:$B,สรุป!$C138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8" s="9">
        <f>AJ138+SUMIFS('บันทึกของเข้า-ออก'!$J:$J,'บันทึกของเข้า-ออก'!$B:$B,สรุป!$C138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8" s="9">
        <f>AK138+SUMIFS('บันทึกของเข้า-ออก'!$J:$J,'บันทึกของเข้า-ออก'!$B:$B,สรุป!$C138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8" s="26"/>
      <c r="T138" s="33"/>
      <c r="U138" s="34"/>
      <c r="V138" s="25" t="str">
        <f t="shared" si="16"/>
        <v>ตะเกียบสำหรับนั่งร้าน 0.5,0.9 ม</v>
      </c>
      <c r="W138" s="44">
        <v>92</v>
      </c>
      <c r="X138" s="35" t="s">
        <v>189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  <c r="AG138" s="26">
        <v>0</v>
      </c>
      <c r="AH138" s="26">
        <v>0</v>
      </c>
      <c r="AI138" s="26">
        <v>0</v>
      </c>
      <c r="AJ138" s="26">
        <v>0</v>
      </c>
      <c r="AK138" s="26">
        <v>0</v>
      </c>
      <c r="AL138" s="34"/>
    </row>
    <row r="139" spans="2:43" x14ac:dyDescent="0.3">
      <c r="B139" s="43" t="s">
        <v>100</v>
      </c>
      <c r="C139" s="6" t="s">
        <v>187</v>
      </c>
      <c r="D139" s="44">
        <f t="shared" si="9"/>
        <v>526</v>
      </c>
      <c r="E139" s="6" t="s">
        <v>189</v>
      </c>
      <c r="F139" s="9">
        <f>Y139+SUMIFS('บันทึกของเข้า-ออก'!$J:$J,'บันทึกของเข้า-ออก'!$B:$B,สรุป!$C139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F$5,'บันทึกของเข้า-ออก'!$D:$D,"&gt;="&amp;สรุป!$F$2,'บันทึกของเข้า-ออก'!$D:$D,"&lt;="&amp;สรุป!$G$2)</f>
        <v>4</v>
      </c>
      <c r="G139" s="9">
        <f>Z139+SUMIFS('บันทึกของเข้า-ออก'!$J:$J,'บันทึกของเข้า-ออก'!$B:$B,สรุป!$C139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39" s="9">
        <f>AA139+SUMIFS('บันทึกของเข้า-ออก'!$J:$J,'บันทึกของเข้า-ออก'!$B:$B,สรุป!$C139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39" s="9">
        <f>AB139+SUMIFS('บันทึกของเข้า-ออก'!$J:$J,'บันทึกของเข้า-ออก'!$B:$B,สรุป!$C139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39" s="57">
        <f>AC139+SUMIFS('บันทึกของเข้า-ออก'!$J:$J,'บันทึกของเข้า-ออก'!$B:$B,สรุป!$C139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J$5,'บันทึกของเข้า-ออก'!$D:$D,"&gt;="&amp;สรุป!$F$2,'บันทึกของเข้า-ออก'!$D:$D,"&lt;="&amp;สรุป!$G$2)</f>
        <v>-4</v>
      </c>
      <c r="K139" s="9">
        <f>AD139+SUMIFS('บันทึกของเข้า-ออก'!$J:$J,'บันทึกของเข้า-ออก'!$B:$B,สรุป!$C139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K$5,'บันทึกของเข้า-ออก'!$D:$D,"&gt;="&amp;สรุป!$F$2,'บันทึกของเข้า-ออก'!$D:$D,"&lt;="&amp;สรุป!$G$2)</f>
        <v>-8</v>
      </c>
      <c r="L139" s="9">
        <f>AE139+SUMIFS('บันทึกของเข้า-ออก'!$J:$J,'บันทึกของเข้า-ออก'!$B:$B,สรุป!$C139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39" s="9">
        <v>20</v>
      </c>
      <c r="N139" s="9">
        <f>AG139+SUMIFS('บันทึกของเข้า-ออก'!$J:$J,'บันทึกของเข้า-ออก'!$B:$B,สรุป!$C139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39" s="9">
        <f>AH139+SUMIFS('บันทึกของเข้า-ออก'!$J:$J,'บันทึกของเข้า-ออก'!$B:$B,สรุป!$C139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O$5,'บันทึกของเข้า-ออก'!$D:$D,"&gt;="&amp;สรุป!$F$2,'บันทึกของเข้า-ออก'!$D:$D,"&lt;="&amp;สรุป!$G$2)</f>
        <v>502</v>
      </c>
      <c r="P139" s="9">
        <f>AI139+SUMIFS('บันทึกของเข้า-ออก'!$J:$J,'บันทึกของเข้า-ออก'!$B:$B,สรุป!$C139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39" s="9">
        <f>AJ139+SUMIFS('บันทึกของเข้า-ออก'!$J:$J,'บันทึกของเข้า-ออก'!$B:$B,สรุป!$C139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39" s="9">
        <f>AK139+SUMIFS('บันทึกของเข้า-ออก'!$J:$J,'บันทึกของเข้า-ออก'!$B:$B,สรุป!$C139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139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39" s="26"/>
      <c r="T139" s="33"/>
      <c r="U139" s="34"/>
      <c r="V139" s="25" t="str">
        <f t="shared" si="16"/>
        <v>ตะเกียบสำหรับนั่งร้าน 1.20 ม</v>
      </c>
      <c r="W139" s="44">
        <v>177</v>
      </c>
      <c r="X139" s="35" t="s">
        <v>189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34"/>
    </row>
    <row r="140" spans="2:43" x14ac:dyDescent="0.3">
      <c r="B140" s="43" t="s">
        <v>100</v>
      </c>
      <c r="C140" s="6" t="s">
        <v>330</v>
      </c>
      <c r="D140" s="44">
        <f t="shared" si="9"/>
        <v>62</v>
      </c>
      <c r="E140" s="6" t="s">
        <v>56</v>
      </c>
      <c r="F140" s="9">
        <f>Y140+SUMIFS('บันทึกของเข้า-ออก'!$J:$J,'บันทึกของเข้า-ออก'!$B:$B,สรุป!$C140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40" s="9">
        <f>Z140+SUMIFS('บันทึกของเข้า-ออก'!$J:$J,'บันทึกของเข้า-ออก'!$B:$B,สรุป!$C140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0" s="9">
        <f>AA140+SUMIFS('บันทึกของเข้า-ออก'!$J:$J,'บันทึกของเข้า-ออก'!$B:$B,สรุป!$C140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40" s="9">
        <f>AB140+SUMIFS('บันทึกของเข้า-ออก'!$J:$J,'บันทึกของเข้า-ออก'!$B:$B,สรุป!$C140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0" s="9">
        <f>AC140+SUMIFS('บันทึกของเข้า-ออก'!$J:$J,'บันทึกของเข้า-ออก'!$B:$B,สรุป!$C140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140" s="9">
        <f>AD140+SUMIFS('บันทึกของเข้า-ออก'!$J:$J,'บันทึกของเข้า-ออก'!$B:$B,สรุป!$C140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0" s="9">
        <f>AE140+SUMIFS('บันทึกของเข้า-ออก'!$J:$J,'บันทึกของเข้า-ออก'!$B:$B,สรุป!$C140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0" s="9">
        <f>AF140+SUMIFS('บันทึกของเข้า-ออก'!$J:$J,'บันทึกของเข้า-ออก'!$B:$B,สรุป!$C140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40" s="9"/>
      <c r="O140" s="9">
        <f>AH140+SUMIFS('บันทึกของเข้า-ออก'!$J:$J,'บันทึกของเข้า-ออก'!$B:$B,สรุป!$C140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O$5,'บันทึกของเข้า-ออก'!$D:$D,"&gt;="&amp;สรุป!$F$2,'บันทึกของเข้า-ออก'!$D:$D,"&lt;="&amp;สรุป!$G$2)</f>
        <v>61</v>
      </c>
      <c r="P140" s="9">
        <f>AI140+SUMIFS('บันทึกของเข้า-ออก'!$J:$J,'บันทึกของเข้า-ออก'!$B:$B,สรุป!$C140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0" s="9">
        <f>AJ140+SUMIFS('บันทึกของเข้า-ออก'!$J:$J,'บันทึกของเข้า-ออก'!$B:$B,สรุป!$C140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0" s="9">
        <f>AK140+SUMIFS('บันทึกของเข้า-ออก'!$J:$J,'บันทึกของเข้า-ออก'!$B:$B,สรุป!$C140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0" s="26"/>
      <c r="T140" s="33"/>
      <c r="U140" s="34"/>
      <c r="V140" s="25" t="str">
        <f t="shared" si="16"/>
        <v>นั่งร้านค้ำยันแบบขาคู่ 1.70</v>
      </c>
      <c r="W140" s="44"/>
      <c r="X140" s="35"/>
      <c r="Y140" s="26">
        <v>0</v>
      </c>
      <c r="Z140" s="26">
        <v>0</v>
      </c>
      <c r="AA140" s="26">
        <v>0</v>
      </c>
      <c r="AB140" s="26">
        <v>0</v>
      </c>
      <c r="AC140" s="26">
        <v>19</v>
      </c>
      <c r="AD140" s="26">
        <v>0</v>
      </c>
      <c r="AE140" s="26">
        <v>0</v>
      </c>
      <c r="AF140" s="26">
        <v>0</v>
      </c>
      <c r="AG140" s="26">
        <v>0</v>
      </c>
      <c r="AH140" s="26">
        <v>43</v>
      </c>
      <c r="AI140" s="26">
        <v>0</v>
      </c>
      <c r="AJ140" s="26">
        <v>0</v>
      </c>
      <c r="AK140" s="26">
        <v>0</v>
      </c>
      <c r="AL140" s="34"/>
    </row>
    <row r="141" spans="2:43" x14ac:dyDescent="0.3">
      <c r="B141" s="43" t="s">
        <v>100</v>
      </c>
      <c r="C141" s="6" t="s">
        <v>186</v>
      </c>
      <c r="D141" s="44">
        <f t="shared" si="9"/>
        <v>769</v>
      </c>
      <c r="E141" s="6" t="s">
        <v>189</v>
      </c>
      <c r="F141" s="9">
        <f>Y141+SUMIFS('บันทึกของเข้า-ออก'!$J:$J,'บันทึกของเข้า-ออก'!$B:$B,สรุป!$C141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F$5,'บันทึกของเข้า-ออก'!$D:$D,"&gt;="&amp;สรุป!$F$2,'บันทึกของเข้า-ออก'!$D:$D,"&lt;="&amp;สรุป!$G$2)</f>
        <v>-12</v>
      </c>
      <c r="G141" s="9">
        <f>Z141+SUMIFS('บันทึกของเข้า-ออก'!$J:$J,'บันทึกของเข้า-ออก'!$B:$B,สรุป!$C141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1" s="9">
        <f>AA141+SUMIFS('บันทึกของเข้า-ออก'!$J:$J,'บันทึกของเข้า-ออก'!$B:$B,สรุป!$C141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H$5,'บันทึกของเข้า-ออก'!$D:$D,"&gt;="&amp;สรุป!$F$2,'บันทึกของเข้า-ออก'!$D:$D,"&lt;="&amp;สรุป!$G$2)</f>
        <v>-12</v>
      </c>
      <c r="I141" s="9">
        <f>AB141+SUMIFS('บันทึกของเข้า-ออก'!$J:$J,'บันทึกของเข้า-ออก'!$B:$B,สรุป!$C141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1" s="57">
        <v>81</v>
      </c>
      <c r="K141" s="9">
        <f>AD141+SUMIFS('บันทึกของเข้า-ออก'!$J:$J,'บันทึกของเข้า-ออก'!$B:$B,สรุป!$C141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K$5,'บันทึกของเข้า-ออก'!$D:$D,"&gt;="&amp;สรุป!$F$2,'บันทึกของเข้า-ออก'!$D:$D,"&lt;="&amp;สรุป!$G$2)</f>
        <v>-4</v>
      </c>
      <c r="L141" s="9">
        <f>AE141+SUMIFS('บันทึกของเข้า-ออก'!$J:$J,'บันทึกของเข้า-ออก'!$B:$B,สรุป!$C141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1" s="9">
        <v>233</v>
      </c>
      <c r="N141" s="9">
        <f>AG141+SUMIFS('บันทึกของเข้า-ออก'!$J:$J,'บันทึกของเข้า-ออก'!$B:$B,สรุป!$C141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N$5,'บันทึกของเข้า-ออก'!$D:$D,"&gt;="&amp;สรุป!$F$2,'บันทึกของเข้า-ออก'!$D:$D,"&lt;="&amp;สรุป!$G$2)</f>
        <v>110</v>
      </c>
      <c r="O141" s="9">
        <f>AH141+SUMIFS('บันทึกของเข้า-ออก'!$J:$J,'บันทึกของเข้า-ออก'!$B:$B,สรุป!$C141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O$5,'บันทึกของเข้า-ออก'!$D:$D,"&gt;="&amp;สรุป!$F$2,'บันทึกของเข้า-ออก'!$D:$D,"&lt;="&amp;สรุป!$G$2)</f>
        <v>345</v>
      </c>
      <c r="P141" s="9">
        <f>AI141+SUMIFS('บันทึกของเข้า-ออก'!$J:$J,'บันทึกของเข้า-ออก'!$B:$B,สรุป!$C141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1" s="9">
        <f>AJ141+SUMIFS('บันทึกของเข้า-ออก'!$J:$J,'บันทึกของเข้า-ออก'!$B:$B,สรุป!$C141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1" s="9">
        <f>AK141+SUMIFS('บันทึกของเข้า-ออก'!$J:$J,'บันทึกของเข้า-ออก'!$B:$B,สรุป!$C141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1" s="26"/>
      <c r="T141" s="33"/>
      <c r="U141" s="34"/>
      <c r="V141" s="25" t="str">
        <f t="shared" si="16"/>
        <v>ตะเกียบสำหรับนั่งร้าน 1.70 ม</v>
      </c>
      <c r="W141" s="44">
        <v>991</v>
      </c>
      <c r="X141" s="35" t="s">
        <v>189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56</v>
      </c>
      <c r="AH141" s="26">
        <v>109</v>
      </c>
      <c r="AI141" s="26">
        <v>0</v>
      </c>
      <c r="AJ141" s="26">
        <v>0</v>
      </c>
      <c r="AK141" s="26">
        <v>0</v>
      </c>
      <c r="AL141" s="34"/>
      <c r="AM141" s="66" t="s">
        <v>375</v>
      </c>
      <c r="AN141" s="85"/>
      <c r="AQ141" s="84">
        <v>25374</v>
      </c>
    </row>
    <row r="142" spans="2:43" x14ac:dyDescent="0.3">
      <c r="B142" s="43" t="s">
        <v>100</v>
      </c>
      <c r="C142" s="6" t="s">
        <v>280</v>
      </c>
      <c r="D142" s="44">
        <v>38</v>
      </c>
      <c r="E142" s="6" t="s">
        <v>54</v>
      </c>
      <c r="F142" s="9">
        <f>Y142+SUMIFS('บันทึกของเข้า-ออก'!$J:$J,'บันทึกของเข้า-ออก'!$B:$B,สรุป!$C142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F$5,'บันทึกของเข้า-ออก'!$D:$D,"&gt;="&amp;สรุป!$F$2,'บันทึกของเข้า-ออก'!$D:$D,"&lt;="&amp;สรุป!$G$2)</f>
        <v>38</v>
      </c>
      <c r="G142" s="9">
        <f>Z142+SUMIFS('บันทึกของเข้า-ออก'!$J:$J,'บันทึกของเข้า-ออก'!$B:$B,สรุป!$C142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2" s="9">
        <f>AA142+SUMIFS('บันทึกของเข้า-ออก'!$J:$J,'บันทึกของเข้า-ออก'!$B:$B,สรุป!$C142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42" s="9">
        <f>AB142+SUMIFS('บันทึกของเข้า-ออก'!$J:$J,'บันทึกของเข้า-ออก'!$B:$B,สรุป!$C142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2" s="9">
        <f>AC142+SUMIFS('บันทึกของเข้า-ออก'!$J:$J,'บันทึกของเข้า-ออก'!$B:$B,สรุป!$C142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42" s="9">
        <f>AD142+SUMIFS('บันทึกของเข้า-ออก'!$J:$J,'บันทึกของเข้า-ออก'!$B:$B,สรุป!$C142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2" s="9">
        <f>AE142+SUMIFS('บันทึกของเข้า-ออก'!$J:$J,'บันทึกของเข้า-ออก'!$B:$B,สรุป!$C142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2" s="9">
        <f>AF142+SUMIFS('บันทึกของเข้า-ออก'!$J:$J,'บันทึกของเข้า-ออก'!$B:$B,สรุป!$C142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42" s="9">
        <f>AG142+SUMIFS('บันทึกของเข้า-ออก'!$J:$J,'บันทึกของเข้า-ออก'!$B:$B,สรุป!$C142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42" s="9">
        <f>AH142+SUMIFS('บันทึกของเข้า-ออก'!$J:$J,'บันทึกของเข้า-ออก'!$B:$B,สรุป!$C142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42" s="9">
        <f>AI142+SUMIFS('บันทึกของเข้า-ออก'!$J:$J,'บันทึกของเข้า-ออก'!$B:$B,สรุป!$C142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2" s="9">
        <f>AJ142+SUMIFS('บันทึกของเข้า-ออก'!$J:$J,'บันทึกของเข้า-ออก'!$B:$B,สรุป!$C142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2" s="9">
        <f>AK142+SUMIFS('บันทึกของเข้า-ออก'!$J:$J,'บันทึกของเข้า-ออก'!$B:$B,สรุป!$C142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2" s="26"/>
      <c r="T142" s="33"/>
      <c r="U142" s="34"/>
      <c r="V142" s="25" t="str">
        <f t="shared" si="16"/>
        <v>นั่งร้าน 0.50 ซ.</v>
      </c>
      <c r="W142" s="44">
        <v>38</v>
      </c>
      <c r="X142" s="35" t="s">
        <v>54</v>
      </c>
      <c r="Y142" s="26">
        <v>38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  <c r="AI142" s="26">
        <v>0</v>
      </c>
      <c r="AJ142" s="26">
        <v>0</v>
      </c>
      <c r="AK142" s="26">
        <v>0</v>
      </c>
      <c r="AL142" s="34"/>
      <c r="AM142" s="4" t="s">
        <v>373</v>
      </c>
      <c r="AN142" s="4" t="s">
        <v>374</v>
      </c>
      <c r="AQ142" s="84">
        <v>25374</v>
      </c>
    </row>
    <row r="143" spans="2:43" x14ac:dyDescent="0.3">
      <c r="B143" s="43" t="s">
        <v>100</v>
      </c>
      <c r="C143" s="6" t="s">
        <v>19</v>
      </c>
      <c r="D143" s="44">
        <f t="shared" si="9"/>
        <v>518</v>
      </c>
      <c r="E143" s="6" t="s">
        <v>54</v>
      </c>
      <c r="F143" s="9">
        <v>58</v>
      </c>
      <c r="G143" s="9">
        <f>Z143+SUMIFS('บันทึกของเข้า-ออก'!$J:$J,'บันทึกของเข้า-ออก'!$B:$B,สรุป!$C143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3" s="9">
        <f>AA143+SUMIFS('บันทึกของเข้า-ออก'!$J:$J,'บันทึกของเข้า-ออก'!$B:$B,สรุป!$C143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43" s="9">
        <f>AB143+SUMIFS('บันทึกของเข้า-ออก'!$J:$J,'บันทึกของเข้า-ออก'!$B:$B,สรุป!$C143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I$5,'บันทึกของเข้า-ออก'!$D:$D,"&gt;="&amp;สรุป!$F$2,'บันทึกของเข้า-ออก'!$D:$D,"&lt;="&amp;สรุป!$G$2)</f>
        <v>7</v>
      </c>
      <c r="J143" s="57">
        <v>8</v>
      </c>
      <c r="K143" s="9">
        <f>AD143+SUMIFS('บันทึกของเข้า-ออก'!$J:$J,'บันทึกของเข้า-ออก'!$B:$B,สรุป!$C143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K$5,'บันทึกของเข้า-ออก'!$D:$D,"&gt;="&amp;สรุป!$F$2,'บันทึกของเข้า-ออก'!$D:$D,"&lt;="&amp;สรุป!$G$2)</f>
        <v>-5</v>
      </c>
      <c r="L143" s="9">
        <f>AE143+SUMIFS('บันทึกของเข้า-ออก'!$J:$J,'บันทึกของเข้า-ออก'!$B:$B,สรุป!$C143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3" s="9">
        <v>60</v>
      </c>
      <c r="N143" s="9">
        <f>AG143+SUMIFS('บันทึกของเข้า-ออก'!$J:$J,'บันทึกของเข้า-ออก'!$B:$B,สรุป!$C143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N$5,'บันทึกของเข้า-ออก'!$D:$D,"&gt;="&amp;สรุป!$F$2,'บันทึกของเข้า-ออก'!$D:$D,"&lt;="&amp;สรุป!$G$2)</f>
        <v>-13</v>
      </c>
      <c r="O143" s="9">
        <v>385</v>
      </c>
      <c r="P143" s="9">
        <f>AI143+SUMIFS('บันทึกของเข้า-ออก'!$J:$J,'บันทึกของเข้า-ออก'!$B:$B,สรุป!$C143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3" s="9">
        <f>AJ143+SUMIFS('บันทึกของเข้า-ออก'!$J:$J,'บันทึกของเข้า-ออก'!$B:$B,สรุป!$C143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3" s="9">
        <f>AK143+SUMIFS('บันทึกของเข้า-ออก'!$J:$J,'บันทึกของเข้า-ออก'!$B:$B,สรุป!$C143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3" s="26" t="s">
        <v>391</v>
      </c>
      <c r="T143" s="33"/>
      <c r="U143" s="34"/>
      <c r="V143" s="25" t="str">
        <f t="shared" si="16"/>
        <v>นั่งร้าน 1.20 ม.</v>
      </c>
      <c r="W143" s="44">
        <v>523</v>
      </c>
      <c r="X143" s="35" t="s">
        <v>54</v>
      </c>
      <c r="Y143" s="26">
        <v>0</v>
      </c>
      <c r="Z143" s="26">
        <v>0</v>
      </c>
      <c r="AA143" s="26">
        <v>0</v>
      </c>
      <c r="AB143" s="26">
        <v>7</v>
      </c>
      <c r="AC143" s="26">
        <v>0</v>
      </c>
      <c r="AD143" s="26">
        <v>0</v>
      </c>
      <c r="AE143" s="26">
        <v>0</v>
      </c>
      <c r="AF143" s="26">
        <v>0</v>
      </c>
      <c r="AG143" s="26">
        <v>4</v>
      </c>
      <c r="AH143" s="26">
        <v>154</v>
      </c>
      <c r="AI143" s="26">
        <v>0</v>
      </c>
      <c r="AJ143" s="26">
        <v>0</v>
      </c>
      <c r="AK143" s="26">
        <v>0</v>
      </c>
      <c r="AL143" s="34"/>
      <c r="AM143" s="4">
        <v>244</v>
      </c>
      <c r="AQ143" s="84">
        <v>25374</v>
      </c>
    </row>
    <row r="144" spans="2:43" x14ac:dyDescent="0.3">
      <c r="B144" s="43" t="s">
        <v>100</v>
      </c>
      <c r="C144" s="6" t="s">
        <v>18</v>
      </c>
      <c r="D144" s="44">
        <f t="shared" si="9"/>
        <v>626</v>
      </c>
      <c r="E144" s="6" t="s">
        <v>54</v>
      </c>
      <c r="F144" s="9">
        <v>8</v>
      </c>
      <c r="G144" s="9">
        <f>Z144+SUMIFS('บันทึกของเข้า-ออก'!$J:$J,'บันทึกของเข้า-ออก'!$B:$B,สรุป!$C144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4" s="9">
        <f>AA144+SUMIFS('บันทึกของเข้า-ออก'!$J:$J,'บันทึกของเข้า-ออก'!$B:$B,สรุป!$C144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H$5,'บันทึกของเข้า-ออก'!$D:$D,"&gt;="&amp;สรุป!$F$2,'บันทึกของเข้า-ออก'!$D:$D,"&lt;="&amp;สรุป!$G$2)</f>
        <v>-63</v>
      </c>
      <c r="I144" s="9">
        <f>AB144+SUMIFS('บันทึกของเข้า-ออก'!$J:$J,'บันทึกของเข้า-ออก'!$B:$B,สรุป!$C144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4" s="57" t="s">
        <v>113</v>
      </c>
      <c r="K144" s="9">
        <f>AD144+SUMIFS('บันทึกของเข้า-ออก'!$J:$J,'บันทึกของเข้า-ออก'!$B:$B,สรุป!$C144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K$5,'บันทึกของเข้า-ออก'!$D:$D,"&gt;="&amp;สรุป!$F$2,'บันทึกของเข้า-ออก'!$D:$D,"&lt;="&amp;สรุป!$G$2)</f>
        <v>-6</v>
      </c>
      <c r="L144" s="9">
        <f>AE144+SUMIFS('บันทึกของเข้า-ออก'!$J:$J,'บันทึกของเข้า-ออก'!$B:$B,สรุป!$C144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4" s="9">
        <v>225</v>
      </c>
      <c r="N144" s="9">
        <f>AG144+SUMIFS('บันทึกของเข้า-ออก'!$J:$J,'บันทึกของเข้า-ออก'!$B:$B,สรุป!$C144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N$5,'บันทึกของเข้า-ออก'!$D:$D,"&gt;="&amp;สรุป!$F$2,'บันทึกของเข้า-ออก'!$D:$D,"&lt;="&amp;สรุป!$G$2)</f>
        <v>104</v>
      </c>
      <c r="O144" s="9">
        <f>AH144+SUMIFS('บันทึกของเข้า-ออก'!$J:$J,'บันทึกของเข้า-ออก'!$B:$B,สรุป!$C144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O$5,'บันทึกของเข้า-ออก'!$D:$D,"&gt;="&amp;สรุป!$F$2,'บันทึกของเข้า-ออก'!$D:$D,"&lt;="&amp;สรุป!$G$2)</f>
        <v>289</v>
      </c>
      <c r="P144" s="9">
        <f>AI144+SUMIFS('บันทึกของเข้า-ออก'!$J:$J,'บันทึกของเข้า-ออก'!$B:$B,สรุป!$C144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4" s="9">
        <f>AJ144+SUMIFS('บันทึกของเข้า-ออก'!$J:$J,'บันทึกของเข้า-ออก'!$B:$B,สรุป!$C144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4" s="9">
        <f>AK144+SUMIFS('บันทึกของเข้า-ออก'!$J:$J,'บันทึกของเข้า-ออก'!$B:$B,สรุป!$C144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4" s="26"/>
      <c r="T144" s="33"/>
      <c r="U144" s="34"/>
      <c r="V144" s="25" t="str">
        <f t="shared" si="16"/>
        <v>นั่งร้าน 1.70 ม.</v>
      </c>
      <c r="W144" s="44">
        <v>681</v>
      </c>
      <c r="X144" s="35" t="s">
        <v>54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40</v>
      </c>
      <c r="AH144" s="26">
        <v>133</v>
      </c>
      <c r="AI144" s="26">
        <v>0</v>
      </c>
      <c r="AJ144" s="26">
        <v>0</v>
      </c>
      <c r="AK144" s="26">
        <v>0</v>
      </c>
      <c r="AL144" s="34"/>
      <c r="AM144" s="4">
        <v>245</v>
      </c>
      <c r="AQ144" s="84">
        <v>25374</v>
      </c>
    </row>
    <row r="145" spans="2:39" x14ac:dyDescent="0.3">
      <c r="B145" s="43" t="s">
        <v>100</v>
      </c>
      <c r="C145" s="6" t="s">
        <v>34</v>
      </c>
      <c r="D145" s="44">
        <f t="shared" si="9"/>
        <v>15</v>
      </c>
      <c r="E145" s="6" t="s">
        <v>58</v>
      </c>
      <c r="F145" s="9">
        <v>5</v>
      </c>
      <c r="G145" s="9">
        <f>Z145+SUMIFS('บันทึกของเข้า-ออก'!$J:$J,'บันทึกของเข้า-ออก'!$B:$B,สรุป!$C145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5" s="9"/>
      <c r="I145" s="9">
        <f>AB145+SUMIFS('บันทึกของเข้า-ออก'!$J:$J,'บันทึกของเข้า-ออก'!$B:$B,สรุป!$C145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I$5,'บันทึกของเข้า-ออก'!$D:$D,"&gt;="&amp;สรุป!$F$2,'บันทึกของเข้า-ออก'!$D:$D,"&lt;="&amp;สรุป!$G$2)</f>
        <v>1</v>
      </c>
      <c r="J145" s="57" t="s">
        <v>392</v>
      </c>
      <c r="K145" s="9">
        <f>AD145+SUMIFS('บันทึกของเข้า-ออก'!$J:$J,'บันทึกของเข้า-ออก'!$B:$B,สรุป!$C145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5" s="9">
        <f>AE145+SUMIFS('บันทึกของเข้า-ออก'!$J:$J,'บันทึกของเข้า-ออก'!$B:$B,สรุป!$C145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5" s="9">
        <f>AF145+SUMIFS('บันทึกของเข้า-ออก'!$J:$J,'บันทึกของเข้า-ออก'!$B:$B,สรุป!$C145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M$5,'บันทึกของเข้า-ออก'!$D:$D,"&gt;="&amp;สรุป!$F$2,'บันทึกของเข้า-ออก'!$D:$D,"&lt;="&amp;สรุป!$G$2)</f>
        <v>4</v>
      </c>
      <c r="N145" s="9">
        <f>AG145+SUMIFS('บันทึกของเข้า-ออก'!$J:$J,'บันทึกของเข้า-ออก'!$B:$B,สรุป!$C145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45" s="9">
        <f>AH145+SUMIFS('บันทึกของเข้า-ออก'!$J:$J,'บันทึกของเข้า-ออก'!$B:$B,สรุป!$C145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O$5,'บันทึกของเข้า-ออก'!$D:$D,"&gt;="&amp;สรุป!$F$2,'บันทึกของเข้า-ออก'!$D:$D,"&lt;="&amp;สรุป!$G$2)</f>
        <v>5</v>
      </c>
      <c r="P145" s="9">
        <f>AI145+SUMIFS('บันทึกของเข้า-ออก'!$J:$J,'บันทึกของเข้า-ออก'!$B:$B,สรุป!$C145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5" s="9">
        <f>AJ145+SUMIFS('บันทึกของเข้า-ออก'!$J:$J,'บันทึกของเข้า-ออก'!$B:$B,สรุป!$C145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5" s="9">
        <f>AK145+SUMIFS('บันทึกของเข้า-ออก'!$J:$J,'บันทึกของเข้า-ออก'!$B:$B,สรุป!$C145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5" s="26"/>
      <c r="T145" s="33"/>
      <c r="U145" s="34"/>
      <c r="V145" s="25" t="str">
        <f t="shared" si="16"/>
        <v>บันไดนั่งร้าน</v>
      </c>
      <c r="W145" s="44">
        <v>16</v>
      </c>
      <c r="X145" s="35" t="s">
        <v>58</v>
      </c>
      <c r="Y145" s="26">
        <v>0</v>
      </c>
      <c r="Z145" s="26">
        <v>0</v>
      </c>
      <c r="AA145" s="26">
        <v>3</v>
      </c>
      <c r="AB145" s="26">
        <v>1</v>
      </c>
      <c r="AC145" s="26">
        <v>0</v>
      </c>
      <c r="AD145" s="26">
        <v>0</v>
      </c>
      <c r="AE145" s="26">
        <v>0</v>
      </c>
      <c r="AF145" s="26">
        <v>4</v>
      </c>
      <c r="AG145" s="26">
        <v>0</v>
      </c>
      <c r="AH145" s="26">
        <v>3</v>
      </c>
      <c r="AI145" s="26">
        <v>0</v>
      </c>
      <c r="AJ145" s="26">
        <v>0</v>
      </c>
      <c r="AK145" s="26">
        <v>0</v>
      </c>
      <c r="AL145" s="34"/>
    </row>
    <row r="146" spans="2:39" x14ac:dyDescent="0.3">
      <c r="B146" s="43" t="s">
        <v>100</v>
      </c>
      <c r="C146" s="6" t="s">
        <v>377</v>
      </c>
      <c r="D146" s="44">
        <f t="shared" si="9"/>
        <v>157</v>
      </c>
      <c r="E146" s="6" t="s">
        <v>56</v>
      </c>
      <c r="F146" s="9">
        <f>Y146+SUMIFS('บันทึกของเข้า-ออก'!$J:$J,'บันทึกของเข้า-ออก'!$B:$B,สรุป!$C146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F$5,'บันทึกของเข้า-ออก'!$D:$D,"&gt;="&amp;สรุป!$F$2,'บันทึกของเข้า-ออก'!$D:$D,"&lt;="&amp;สรุป!$G$2)</f>
        <v>10</v>
      </c>
      <c r="G146" s="9">
        <f>Z146+SUMIFS('บันทึกของเข้า-ออก'!$J:$J,'บันทึกของเข้า-ออก'!$B:$B,สรุป!$C146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6" s="9">
        <f>AA146+SUMIFS('บันทึกของเข้า-ออก'!$J:$J,'บันทึกของเข้า-ออก'!$B:$B,สรุป!$C146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46" s="9">
        <f>AB146+SUMIFS('บันทึกของเข้า-ออก'!$J:$J,'บันทึกของเข้า-ออก'!$B:$B,สรุป!$C146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I$5,'บันทึกของเข้า-ออก'!$D:$D,"&gt;="&amp;สรุป!$F$2,'บันทึกของเข้า-ออก'!$D:$D,"&lt;="&amp;สรุป!$G$2)</f>
        <v>38</v>
      </c>
      <c r="J146" s="9">
        <f>AC146+SUMIFS('บันทึกของเข้า-ออก'!$J:$J,'บันทึกของเข้า-ออก'!$B:$B,สรุป!$C146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J$5,'บันทึกของเข้า-ออก'!$D:$D,"&gt;="&amp;สรุป!$F$2,'บันทึกของเข้า-ออก'!$D:$D,"&lt;="&amp;สรุป!$G$2)</f>
        <v>-25</v>
      </c>
      <c r="K146" s="9">
        <f>AD146+SUMIFS('บันทึกของเข้า-ออก'!$J:$J,'บันทึกของเข้า-ออก'!$B:$B,สรุป!$C146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6" s="9">
        <f>AE146+SUMIFS('บันทึกของเข้า-ออก'!$J:$J,'บันทึกของเข้า-ออก'!$B:$B,สรุป!$C146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6" s="9">
        <f>AF146+SUMIFS('บันทึกของเข้า-ออก'!$J:$J,'บันทึกของเข้า-ออก'!$B:$B,สรุป!$C146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46" s="9">
        <f>AG146+SUMIFS('บันทึกของเข้า-ออก'!$J:$J,'บันทึกของเข้า-ออก'!$B:$B,สรุป!$C146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N$5,'บันทึกของเข้า-ออก'!$D:$D,"&gt;="&amp;สรุป!$F$2,'บันทึกของเข้า-ออก'!$D:$D,"&lt;="&amp;สรุป!$G$2)</f>
        <v>2</v>
      </c>
      <c r="O146" s="9">
        <f>AH146+SUMIFS('บันทึกของเข้า-ออก'!$J:$J,'บันทึกของเข้า-ออก'!$B:$B,สรุป!$C146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O$5,'บันทึกของเข้า-ออก'!$D:$D,"&gt;="&amp;สรุป!$F$2,'บันทึกของเข้า-ออก'!$D:$D,"&lt;="&amp;สรุป!$G$2)</f>
        <v>107</v>
      </c>
      <c r="P146" s="9">
        <f>AI146+SUMIFS('บันทึกของเข้า-ออก'!$J:$J,'บันทึกของเข้า-ออก'!$B:$B,สรุป!$C146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6" s="9">
        <f>AJ146+SUMIFS('บันทึกของเข้า-ออก'!$J:$J,'บันทึกของเข้า-ออก'!$B:$B,สรุป!$C146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6" s="9">
        <f>AK146+SUMIFS('บันทึกของเข้า-ออก'!$J:$J,'บันทึกของเข้า-ออก'!$B:$B,สรุป!$C146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6" s="26"/>
      <c r="T146" s="33"/>
      <c r="U146" s="34"/>
      <c r="V146" s="25" t="str">
        <f t="shared" si="16"/>
        <v>ป๊อปค้ำยัน**ตัวเมีย**2 ม</v>
      </c>
      <c r="W146" s="44">
        <v>132</v>
      </c>
      <c r="X146" s="35" t="s">
        <v>56</v>
      </c>
      <c r="Y146" s="26"/>
      <c r="Z146" s="26">
        <v>0</v>
      </c>
      <c r="AA146" s="26">
        <v>0</v>
      </c>
      <c r="AB146" s="26">
        <v>38</v>
      </c>
      <c r="AC146" s="26">
        <v>34</v>
      </c>
      <c r="AD146" s="26">
        <v>0</v>
      </c>
      <c r="AE146" s="26">
        <v>0</v>
      </c>
      <c r="AF146" s="26">
        <v>0</v>
      </c>
      <c r="AG146" s="26">
        <v>2</v>
      </c>
      <c r="AH146" s="26">
        <v>58</v>
      </c>
      <c r="AI146" s="26">
        <v>0</v>
      </c>
      <c r="AJ146" s="26">
        <v>0</v>
      </c>
      <c r="AK146" s="26">
        <v>0</v>
      </c>
      <c r="AL146" s="34"/>
    </row>
    <row r="147" spans="2:39" x14ac:dyDescent="0.3">
      <c r="B147" s="43" t="s">
        <v>100</v>
      </c>
      <c r="C147" s="6" t="s">
        <v>161</v>
      </c>
      <c r="D147" s="44">
        <f t="shared" si="9"/>
        <v>62</v>
      </c>
      <c r="E147" s="6" t="s">
        <v>56</v>
      </c>
      <c r="F147" s="9">
        <f>Y147+SUMIFS('บันทึกของเข้า-ออก'!$J:$J,'บันทึกของเข้า-ออก'!$B:$B,สรุป!$C147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47" s="9">
        <f>Z147+SUMIFS('บันทึกของเข้า-ออก'!$J:$J,'บันทึกของเข้า-ออก'!$B:$B,สรุป!$C147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7" s="9">
        <f>AA147+SUMIFS('บันทึกของเข้า-ออก'!$J:$J,'บันทึกของเข้า-ออก'!$B:$B,สรุป!$C147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47" s="9">
        <f>AB147+SUMIFS('บันทึกของเข้า-ออก'!$J:$J,'บันทึกของเข้า-ออก'!$B:$B,สรุป!$C147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7" s="9">
        <f>AC147+SUMIFS('บันทึกของเข้า-ออก'!$J:$J,'บันทึกของเข้า-ออก'!$B:$B,สรุป!$C147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J$5,'บันทึกของเข้า-ออก'!$D:$D,"&gt;="&amp;สรุป!$F$2,'บันทึกของเข้า-ออก'!$D:$D,"&lt;="&amp;สรุป!$G$2)</f>
        <v>19</v>
      </c>
      <c r="K147" s="9">
        <f>AD147+SUMIFS('บันทึกของเข้า-ออก'!$J:$J,'บันทึกของเข้า-ออก'!$B:$B,สรุป!$C147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7" s="9">
        <f>AE147+SUMIFS('บันทึกของเข้า-ออก'!$J:$J,'บันทึกของเข้า-ออก'!$B:$B,สรุป!$C147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7" s="9">
        <f>AF147+SUMIFS('บันทึกของเข้า-ออก'!$J:$J,'บันทึกของเข้า-ออก'!$B:$B,สรุป!$C147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47" s="9">
        <f>AG147+SUMIFS('บันทึกของเข้า-ออก'!$J:$J,'บันทึกของเข้า-ออก'!$B:$B,สรุป!$C147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47" s="9">
        <f>AH147+SUMIFS('บันทึกของเข้า-ออก'!$J:$J,'บันทึกของเข้า-ออก'!$B:$B,สรุป!$C147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O$5,'บันทึกของเข้า-ออก'!$D:$D,"&gt;="&amp;สรุป!$F$2,'บันทึกของเข้า-ออก'!$D:$D,"&lt;="&amp;สรุป!$G$2)</f>
        <v>43</v>
      </c>
      <c r="P147" s="9">
        <f>AI147+SUMIFS('บันทึกของเข้า-ออก'!$J:$J,'บันทึกของเข้า-ออก'!$B:$B,สรุป!$C147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7" s="9">
        <f>AJ147+SUMIFS('บันทึกของเข้า-ออก'!$J:$J,'บันทึกของเข้า-ออก'!$B:$B,สรุป!$C147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7" s="9">
        <f>AK147+SUMIFS('บันทึกของเข้า-ออก'!$J:$J,'บันทึกของเข้า-ออก'!$B:$B,สรุป!$C147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7" s="26"/>
      <c r="T147" s="33"/>
      <c r="U147" s="34"/>
      <c r="V147" s="25" t="str">
        <f t="shared" si="16"/>
        <v>ป๊อปค้ำยัน**ตัวเมียขาคู่** 1.50 ม</v>
      </c>
      <c r="W147" s="44">
        <v>62</v>
      </c>
      <c r="X147" s="35" t="s">
        <v>56</v>
      </c>
      <c r="Y147" s="26">
        <v>0</v>
      </c>
      <c r="Z147" s="26">
        <v>0</v>
      </c>
      <c r="AA147" s="26">
        <v>0</v>
      </c>
      <c r="AB147" s="26"/>
      <c r="AC147" s="26">
        <v>19</v>
      </c>
      <c r="AD147" s="26">
        <v>0</v>
      </c>
      <c r="AE147" s="26">
        <v>0</v>
      </c>
      <c r="AF147" s="26">
        <v>0</v>
      </c>
      <c r="AG147" s="26">
        <v>0</v>
      </c>
      <c r="AH147" s="26">
        <v>43</v>
      </c>
      <c r="AI147" s="26">
        <v>0</v>
      </c>
      <c r="AJ147" s="26">
        <v>0</v>
      </c>
      <c r="AK147" s="26">
        <v>0</v>
      </c>
      <c r="AL147" s="34"/>
    </row>
    <row r="148" spans="2:39" x14ac:dyDescent="0.3">
      <c r="B148" s="43" t="s">
        <v>100</v>
      </c>
      <c r="C148" s="6" t="s">
        <v>151</v>
      </c>
      <c r="D148" s="44">
        <f t="shared" si="9"/>
        <v>356</v>
      </c>
      <c r="E148" s="6" t="s">
        <v>56</v>
      </c>
      <c r="F148" s="9">
        <f>Y148+SUMIFS('บันทึกของเข้า-ออก'!$J:$J,'บันทึกของเข้า-ออก'!$B:$B,สรุป!$C148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F$5,'บันทึกของเข้า-ออก'!$D:$D,"&gt;="&amp;สรุป!$F$2,'บันทึกของเข้า-ออก'!$D:$D,"&lt;="&amp;สรุป!$G$2)</f>
        <v>57</v>
      </c>
      <c r="G148" s="9">
        <f>Z148+SUMIFS('บันทึกของเข้า-ออก'!$J:$J,'บันทึกของเข้า-ออก'!$B:$B,สรุป!$C148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8" s="9">
        <f>AA148+SUMIFS('บันทึกของเข้า-ออก'!$J:$J,'บันทึกของเข้า-ออก'!$B:$B,สรุป!$C148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H$5,'บันทึกของเข้า-ออก'!$D:$D,"&gt;="&amp;สรุป!$F$2,'บันทึกของเข้า-ออก'!$D:$D,"&lt;="&amp;สรุป!$G$2)</f>
        <v>-35</v>
      </c>
      <c r="I148" s="9">
        <f>AB148+SUMIFS('บันทึกของเข้า-ออก'!$J:$J,'บันทึกของเข้า-ออก'!$B:$B,สรุป!$C148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48" s="9">
        <f>AC148+SUMIFS('บันทึกของเข้า-ออก'!$J:$J,'บันทึกของเข้า-ออก'!$B:$B,สรุป!$C148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J$5,'บันทึกของเข้า-ออก'!$D:$D,"&gt;="&amp;สรุป!$F$2,'บันทึกของเข้า-ออก'!$D:$D,"&lt;="&amp;สรุป!$G$2)</f>
        <v>-43</v>
      </c>
      <c r="K148" s="9">
        <f>AD148+SUMIFS('บันทึกของเข้า-ออก'!$J:$J,'บันทึกของเข้า-ออก'!$B:$B,สรุป!$C148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8" s="9">
        <f>AE148+SUMIFS('บันทึกของเข้า-ออก'!$J:$J,'บันทึกของเข้า-ออก'!$B:$B,สรุป!$C148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8" s="9">
        <f>AF148+SUMIFS('บันทึกของเข้า-ออก'!$J:$J,'บันทึกของเข้า-ออก'!$B:$B,สรุป!$C148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48" s="9">
        <f>AG148+SUMIFS('บันทึกของเข้า-ออก'!$J:$J,'บันทึกของเข้า-ออก'!$B:$B,สรุป!$C148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N$5,'บันทึกของเข้า-ออก'!$D:$D,"&gt;="&amp;สรุป!$F$2,'บันทึกของเข้า-ออก'!$D:$D,"&lt;="&amp;สรุป!$G$2)</f>
        <v>50</v>
      </c>
      <c r="O148" s="9">
        <f>AH148+SUMIFS('บันทึกของเข้า-ออก'!$J:$J,'บันทึกของเข้า-ออก'!$B:$B,สรุป!$C148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O$5,'บันทึกของเข้า-ออก'!$D:$D,"&gt;="&amp;สรุป!$F$2,'บันทึกของเข้า-ออก'!$D:$D,"&lt;="&amp;สรุป!$G$2)</f>
        <v>249</v>
      </c>
      <c r="P148" s="9">
        <f>AI148+SUMIFS('บันทึกของเข้า-ออก'!$J:$J,'บันทึกของเข้า-ออก'!$B:$B,สรุป!$C148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8" s="9">
        <f>AJ148+SUMIFS('บันทึกของเข้า-ออก'!$J:$J,'บันทึกของเข้า-ออก'!$B:$B,สรุป!$C148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8" s="9">
        <f>AK148+SUMIFS('บันทึกของเข้า-ออก'!$J:$J,'บันทึกของเข้า-ออก'!$B:$B,สรุป!$C148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8" s="26"/>
      <c r="T148" s="33"/>
      <c r="U148" s="34"/>
      <c r="V148" s="25" t="str">
        <f t="shared" si="16"/>
        <v>ป๊อปค้ำยัน**ตัวผู้**2 ม</v>
      </c>
      <c r="W148" s="44">
        <v>313</v>
      </c>
      <c r="X148" s="35" t="s">
        <v>56</v>
      </c>
      <c r="Y148" s="26">
        <v>42</v>
      </c>
      <c r="Z148" s="26">
        <v>0</v>
      </c>
      <c r="AA148" s="26">
        <v>0</v>
      </c>
      <c r="AB148" s="26"/>
      <c r="AC148" s="26">
        <v>0</v>
      </c>
      <c r="AD148" s="26">
        <v>0</v>
      </c>
      <c r="AE148" s="26">
        <v>0</v>
      </c>
      <c r="AF148" s="26">
        <v>0</v>
      </c>
      <c r="AG148" s="26">
        <v>95</v>
      </c>
      <c r="AH148" s="26">
        <v>141</v>
      </c>
      <c r="AI148" s="26">
        <v>0</v>
      </c>
      <c r="AJ148" s="26">
        <v>0</v>
      </c>
      <c r="AK148" s="26">
        <v>0</v>
      </c>
      <c r="AL148" s="34"/>
    </row>
    <row r="149" spans="2:39" x14ac:dyDescent="0.3">
      <c r="B149" s="43" t="s">
        <v>100</v>
      </c>
      <c r="C149" s="6" t="s">
        <v>152</v>
      </c>
      <c r="D149" s="44">
        <f t="shared" si="9"/>
        <v>78</v>
      </c>
      <c r="E149" s="6" t="s">
        <v>56</v>
      </c>
      <c r="F149" s="9">
        <f>Y149+SUMIFS('บันทึกของเข้า-ออก'!$J:$J,'บันทึกของเข้า-ออก'!$B:$B,สรุป!$C149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F$5,'บันทึกของเข้า-ออก'!$D:$D,"&gt;="&amp;สรุป!$F$2,'บันทึกของเข้า-ออก'!$D:$D,"&lt;="&amp;สรุป!$G$2)</f>
        <v>17</v>
      </c>
      <c r="G149" s="9">
        <f>Z149+SUMIFS('บันทึกของเข้า-ออก'!$J:$J,'บันทึกของเข้า-ออก'!$B:$B,สรุป!$C149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49" s="9">
        <f>AA149+SUMIFS('บันทึกของเข้า-ออก'!$J:$J,'บันทึกของเข้า-ออก'!$B:$B,สรุป!$C149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49" s="9">
        <f>AB149+SUMIFS('บันทึกของเข้า-ออก'!$J:$J,'บันทึกของเข้า-ออก'!$B:$B,สรุป!$C149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I$5,'บันทึกของเข้า-ออก'!$D:$D,"&gt;="&amp;สรุป!$F$2,'บันทึกของเข้า-ออก'!$D:$D,"&lt;="&amp;สรุป!$G$2)</f>
        <v>25</v>
      </c>
      <c r="J149" s="9">
        <f>AC149+SUMIFS('บันทึกของเข้า-ออก'!$J:$J,'บันทึกของเข้า-ออก'!$B:$B,สรุป!$C149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J$5,'บันทึกของเข้า-ออก'!$D:$D,"&gt;="&amp;สรุป!$F$2,'บันทึกของเข้า-ออก'!$D:$D,"&lt;="&amp;สรุป!$G$2)</f>
        <v>19</v>
      </c>
      <c r="K149" s="9">
        <f>AD149+SUMIFS('บันทึกของเข้า-ออก'!$J:$J,'บันทึกของเข้า-ออก'!$B:$B,สรุป!$C149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49" s="9">
        <f>AE149+SUMIFS('บันทึกของเข้า-ออก'!$J:$J,'บันทึกของเข้า-ออก'!$B:$B,สรุป!$C149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49" s="9">
        <f>AF149+SUMIFS('บันทึกของเข้า-ออก'!$J:$J,'บันทึกของเข้า-ออก'!$B:$B,สรุป!$C149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49" s="9">
        <f>AG149+SUMIFS('บันทึกของเข้า-ออก'!$J:$J,'บันทึกของเข้า-ออก'!$B:$B,สรุป!$C149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N$5,'บันทึกของเข้า-ออก'!$D:$D,"&gt;="&amp;สรุป!$F$2,'บันทึกของเข้า-ออก'!$D:$D,"&lt;="&amp;สรุป!$G$2)</f>
        <v>-14</v>
      </c>
      <c r="O149" s="9">
        <f>AH149+SUMIFS('บันทึกของเข้า-ออก'!$J:$J,'บันทึกของเข้า-ออก'!$B:$B,สรุป!$C149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O$5,'บันทึกของเข้า-ออก'!$D:$D,"&gt;="&amp;สรุป!$F$2,'บันทึกของเข้า-ออก'!$D:$D,"&lt;="&amp;สรุป!$G$2)</f>
        <v>17</v>
      </c>
      <c r="P149" s="9">
        <f>AI149+SUMIFS('บันทึกของเข้า-ออก'!$J:$J,'บันทึกของเข้า-ออก'!$B:$B,สรุป!$C149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49" s="9">
        <f>AJ149+SUMIFS('บันทึกของเข้า-ออก'!$J:$J,'บันทึกของเข้า-ออก'!$B:$B,สรุป!$C149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49" s="9">
        <f>AK149+SUMIFS('บันทึกของเข้า-ออก'!$J:$J,'บันทึกของเข้า-ออก'!$B:$B,สรุป!$C149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149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49" s="26"/>
      <c r="T149" s="33"/>
      <c r="U149" s="34"/>
      <c r="V149" s="25" t="str">
        <f t="shared" si="16"/>
        <v>ป๊อปค้ำยัน**ตัวผู้**3 ม</v>
      </c>
      <c r="W149" s="44">
        <v>78</v>
      </c>
      <c r="X149" s="35" t="s">
        <v>56</v>
      </c>
      <c r="Y149" s="26">
        <v>17</v>
      </c>
      <c r="Z149" s="26">
        <v>0</v>
      </c>
      <c r="AA149" s="26">
        <v>0</v>
      </c>
      <c r="AB149" s="26">
        <v>25</v>
      </c>
      <c r="AC149" s="26">
        <v>19</v>
      </c>
      <c r="AD149" s="26">
        <v>0</v>
      </c>
      <c r="AE149" s="26">
        <v>0</v>
      </c>
      <c r="AF149" s="26">
        <v>0</v>
      </c>
      <c r="AG149" s="26">
        <v>3</v>
      </c>
      <c r="AH149" s="26">
        <v>0</v>
      </c>
      <c r="AI149" s="26">
        <v>0</v>
      </c>
      <c r="AJ149" s="26">
        <v>0</v>
      </c>
      <c r="AK149" s="26">
        <v>0</v>
      </c>
      <c r="AL149" s="34"/>
    </row>
    <row r="150" spans="2:39" x14ac:dyDescent="0.3">
      <c r="B150" s="43" t="s">
        <v>100</v>
      </c>
      <c r="C150" s="6" t="s">
        <v>24</v>
      </c>
      <c r="D150" s="44">
        <f t="shared" si="9"/>
        <v>122</v>
      </c>
      <c r="E150" s="6" t="s">
        <v>58</v>
      </c>
      <c r="F150" s="9">
        <f>Y150+SUMIFS('บันทึกของเข้า-ออก'!$J:$J,'บันทึกของเข้า-ออก'!$B:$B,สรุป!$C150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F$5,'บันทึกของเข้า-ออก'!$D:$D,"&gt;="&amp;สรุป!$F$2,'บันทึกของเข้า-ออก'!$D:$D,"&lt;="&amp;สรุป!$G$2)</f>
        <v>39</v>
      </c>
      <c r="G150" s="9">
        <f>Z150+SUMIFS('บันทึกของเข้า-ออก'!$J:$J,'บันทึกของเข้า-ออก'!$B:$B,สรุป!$C150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0" s="9">
        <f>AA150+SUMIFS('บันทึกของเข้า-ออก'!$J:$J,'บันทึกของเข้า-ออก'!$B:$B,สรุป!$C150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0" s="9">
        <f>AB150+SUMIFS('บันทึกของเข้า-ออก'!$J:$J,'บันทึกของเข้า-ออก'!$B:$B,สรุป!$C150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I$5,'บันทึกของเข้า-ออก'!$D:$D,"&gt;="&amp;สรุป!$F$2,'บันทึกของเข้า-ออก'!$D:$D,"&lt;="&amp;สรุป!$G$2)</f>
        <v>8</v>
      </c>
      <c r="J150" s="57">
        <v>8</v>
      </c>
      <c r="K150" s="9">
        <f>AD150+SUMIFS('บันทึกของเข้า-ออก'!$J:$J,'บันทึกของเข้า-ออก'!$B:$B,สรุป!$C150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0" s="9">
        <f>AE150+SUMIFS('บันทึกของเข้า-ออก'!$J:$J,'บันทึกของเข้า-ออก'!$B:$B,สรุป!$C150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L$5,'บันทึกของเข้า-ออก'!$D:$D,"&gt;="&amp;สรุป!$F$2,'บันทึกของเข้า-ออก'!$D:$D,"&lt;="&amp;สรุป!$G$2)</f>
        <v>-25</v>
      </c>
      <c r="M150" s="9">
        <v>18</v>
      </c>
      <c r="N150" s="9">
        <f>AG150+SUMIFS('บันทึกของเข้า-ออก'!$J:$J,'บันทึกของเข้า-ออก'!$B:$B,สรุป!$C150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N$5,'บันทึกของเข้า-ออก'!$D:$D,"&gt;="&amp;สรุป!$F$2,'บันทึกของเข้า-ออก'!$D:$D,"&lt;="&amp;สรุป!$G$2)</f>
        <v>22</v>
      </c>
      <c r="O150" s="9">
        <v>27</v>
      </c>
      <c r="P150" s="9">
        <f>AI150+SUMIFS('บันทึกของเข้า-ออก'!$J:$J,'บันทึกของเข้า-ออก'!$B:$B,สรุป!$C150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0" s="9">
        <f>AJ150+SUMIFS('บันทึกของเข้า-ออก'!$J:$J,'บันทึกของเข้า-ออก'!$B:$B,สรุป!$C150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0" s="9">
        <f>AK150+SUMIFS('บันทึกของเข้า-ออก'!$J:$J,'บันทึกของเข้า-ออก'!$B:$B,สรุป!$C150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0" s="26"/>
      <c r="T150" s="33"/>
      <c r="U150" s="34"/>
      <c r="V150" s="25" t="str">
        <f t="shared" si="16"/>
        <v>ฝาครอบนั่งร้าน</v>
      </c>
      <c r="W150" s="44">
        <v>142</v>
      </c>
      <c r="X150" s="35" t="s">
        <v>58</v>
      </c>
      <c r="Y150" s="26">
        <v>61</v>
      </c>
      <c r="Z150" s="26">
        <v>0</v>
      </c>
      <c r="AA150" s="26">
        <v>0</v>
      </c>
      <c r="AB150" s="26">
        <v>8</v>
      </c>
      <c r="AC150" s="26">
        <v>0</v>
      </c>
      <c r="AD150" s="26">
        <v>0</v>
      </c>
      <c r="AE150" s="26">
        <v>0</v>
      </c>
      <c r="AF150" s="26">
        <v>0</v>
      </c>
      <c r="AG150" s="26">
        <v>9</v>
      </c>
      <c r="AH150" s="26">
        <v>27</v>
      </c>
      <c r="AI150" s="26">
        <v>0</v>
      </c>
      <c r="AJ150" s="26">
        <v>0</v>
      </c>
      <c r="AK150" s="26">
        <v>0</v>
      </c>
      <c r="AL150" s="34"/>
      <c r="AM150" s="4">
        <v>145</v>
      </c>
    </row>
    <row r="151" spans="2:39" x14ac:dyDescent="0.3">
      <c r="B151" s="43" t="s">
        <v>100</v>
      </c>
      <c r="C151" s="6" t="s">
        <v>341</v>
      </c>
      <c r="D151" s="44">
        <v>4</v>
      </c>
      <c r="E151" s="6" t="s">
        <v>58</v>
      </c>
      <c r="F151" s="9">
        <f>Y151+SUMIFS('บันทึกของเข้า-ออก'!$J:$J,'บันทึกของเข้า-ออก'!$B:$B,สรุป!$C151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1" s="9">
        <f>Z151+SUMIFS('บันทึกของเข้า-ออก'!$J:$J,'บันทึกของเข้า-ออก'!$B:$B,สรุป!$C151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G$5,'บันทึกของเข้า-ออก'!$D:$D,"&gt;="&amp;สรุป!$F$2,'บันทึกของเข้า-ออก'!$D:$D,"&lt;="&amp;สรุป!$G$2)</f>
        <v>4</v>
      </c>
      <c r="H151" s="9">
        <f>AA151+SUMIFS('บันทึกของเข้า-ออก'!$J:$J,'บันทึกของเข้า-ออก'!$B:$B,สรุป!$C151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1" s="9">
        <f>AB151+SUMIFS('บันทึกของเข้า-ออก'!$J:$J,'บันทึกของเข้า-ออก'!$B:$B,สรุป!$C151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1" s="9">
        <f>AC151+SUMIFS('บันทึกของเข้า-ออก'!$J:$J,'บันทึกของเข้า-ออก'!$B:$B,สรุป!$C151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1" s="9">
        <f>AD151+SUMIFS('บันทึกของเข้า-ออก'!$J:$J,'บันทึกของเข้า-ออก'!$B:$B,สรุป!$C151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1" s="9">
        <f>AE151+SUMIFS('บันทึกของเข้า-ออก'!$J:$J,'บันทึกของเข้า-ออก'!$B:$B,สรุป!$C151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1" s="9">
        <f>AF151+SUMIFS('บันทึกของเข้า-ออก'!$J:$J,'บันทึกของเข้า-ออก'!$B:$B,สรุป!$C151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1" s="9">
        <f>AG151+SUMIFS('บันทึกของเข้า-ออก'!$J:$J,'บันทึกของเข้า-ออก'!$B:$B,สรุป!$C151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N$5,'บันทึกของเข้า-ออก'!$D:$D,"&gt;="&amp;สรุป!$F$2,'บันทึกของเข้า-ออก'!$D:$D,"&lt;="&amp;สรุป!$G$2)</f>
        <v>4</v>
      </c>
      <c r="O151" s="9">
        <f>AH151+SUMIFS('บันทึกของเข้า-ออก'!$J:$J,'บันทึกของเข้า-ออก'!$B:$B,สรุป!$C151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1" s="9">
        <f>AI151+SUMIFS('บันทึกของเข้า-ออก'!$J:$J,'บันทึกของเข้า-ออก'!$B:$B,สรุป!$C151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1" s="9">
        <f>AJ151+SUMIFS('บันทึกของเข้า-ออก'!$J:$J,'บันทึกของเข้า-ออก'!$B:$B,สรุป!$C151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1" s="9">
        <f>AK151+SUMIFS('บันทึกของเข้า-ออก'!$J:$J,'บันทึกของเข้า-ออก'!$B:$B,สรุป!$C151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1" s="26"/>
      <c r="T151" s="33"/>
      <c r="U151" s="34"/>
      <c r="V151" s="25" t="s">
        <v>341</v>
      </c>
      <c r="W151" s="44">
        <v>4</v>
      </c>
      <c r="X151" s="35"/>
      <c r="Y151" s="26">
        <v>0</v>
      </c>
      <c r="Z151" s="26">
        <v>4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0</v>
      </c>
      <c r="AH151" s="26">
        <v>0</v>
      </c>
      <c r="AI151" s="26">
        <v>0</v>
      </c>
      <c r="AJ151" s="26">
        <v>0</v>
      </c>
      <c r="AK151" s="26">
        <v>0</v>
      </c>
      <c r="AL151" s="34"/>
    </row>
    <row r="152" spans="2:39" x14ac:dyDescent="0.3">
      <c r="B152" s="43" t="s">
        <v>100</v>
      </c>
      <c r="C152" s="6" t="s">
        <v>193</v>
      </c>
      <c r="D152" s="44">
        <f t="shared" si="9"/>
        <v>28</v>
      </c>
      <c r="E152" s="6" t="s">
        <v>194</v>
      </c>
      <c r="F152" s="9">
        <f>Y152+SUMIFS('บันทึกของเข้า-ออก'!$J:$J,'บันทึกของเข้า-ออก'!$B:$B,สรุป!$C152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2" s="9">
        <f>Z152+SUMIFS('บันทึกของเข้า-ออก'!$J:$J,'บันทึกของเข้า-ออก'!$B:$B,สรุป!$C152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2" s="9">
        <f>AA152+SUMIFS('บันทึกของเข้า-ออก'!$J:$J,'บันทึกของเข้า-ออก'!$B:$B,สรุป!$C152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H$5,'บันทึกของเข้า-ออก'!$D:$D,"&gt;="&amp;สรุป!$F$2,'บันทึกของเข้า-ออก'!$D:$D,"&lt;="&amp;สรุป!$G$2)</f>
        <v>-12</v>
      </c>
      <c r="I152" s="9">
        <f>AB152+SUMIFS('บันทึกของเข้า-ออก'!$J:$J,'บันทึกของเข้า-ออก'!$B:$B,สรุป!$C152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2" s="57"/>
      <c r="K152" s="9">
        <f>AD152+SUMIFS('บันทึกของเข้า-ออก'!$J:$J,'บันทึกของเข้า-ออก'!$B:$B,สรุป!$C152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2" s="9">
        <f>AE152+SUMIFS('บันทึกของเข้า-ออก'!$J:$J,'บันทึกของเข้า-ออก'!$B:$B,สรุป!$C152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2" s="9">
        <f>AF152+SUMIFS('บันทึกของเข้า-ออก'!$J:$J,'บันทึกของเข้า-ออก'!$B:$B,สรุป!$C152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M$5,'บันทึกของเข้า-ออก'!$D:$D,"&gt;="&amp;สรุป!$F$2,'บันทึกของเข้า-ออก'!$D:$D,"&lt;="&amp;สรุป!$G$2)</f>
        <v>8</v>
      </c>
      <c r="N152" s="9">
        <f>AG152+SUMIFS('บันทึกของเข้า-ออก'!$J:$J,'บันทึกของเข้า-ออก'!$B:$B,สรุป!$C152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N$5,'บันทึกของเข้า-ออก'!$D:$D,"&gt;="&amp;สรุป!$F$2,'บันทึกของเข้า-ออก'!$D:$D,"&lt;="&amp;สรุป!$G$2)</f>
        <v>8</v>
      </c>
      <c r="O152" s="9">
        <v>12</v>
      </c>
      <c r="P152" s="9">
        <f>AI152+SUMIFS('บันทึกของเข้า-ออก'!$J:$J,'บันทึกของเข้า-ออก'!$B:$B,สรุป!$C152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2" s="9">
        <f>AJ152+SUMIFS('บันทึกของเข้า-ออก'!$J:$J,'บันทึกของเข้า-ออก'!$B:$B,สรุป!$C152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2" s="9">
        <f>AK152+SUMIFS('บันทึกของเข้า-ออก'!$J:$J,'บันทึกของเข้า-ออก'!$B:$B,สรุป!$C152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2" s="26"/>
      <c r="T152" s="33"/>
      <c r="U152" s="34"/>
      <c r="V152" s="25" t="str">
        <f>C152</f>
        <v>ล้อนั่งร้านแบบโพลี่ 8 นิ้ว</v>
      </c>
      <c r="W152" s="44">
        <v>24</v>
      </c>
      <c r="X152" s="35" t="s">
        <v>194</v>
      </c>
      <c r="Y152" s="26">
        <v>0</v>
      </c>
      <c r="Z152" s="26">
        <v>0</v>
      </c>
      <c r="AA152" s="26">
        <v>8</v>
      </c>
      <c r="AB152" s="26">
        <v>0</v>
      </c>
      <c r="AC152" s="26">
        <v>4</v>
      </c>
      <c r="AD152" s="26">
        <v>0</v>
      </c>
      <c r="AE152" s="26">
        <v>0</v>
      </c>
      <c r="AF152" s="26">
        <v>8</v>
      </c>
      <c r="AG152" s="26"/>
      <c r="AH152" s="26">
        <v>8</v>
      </c>
      <c r="AI152" s="26">
        <v>0</v>
      </c>
      <c r="AJ152" s="26">
        <v>0</v>
      </c>
      <c r="AK152" s="26">
        <v>0</v>
      </c>
      <c r="AL152" s="34"/>
    </row>
    <row r="153" spans="2:39" x14ac:dyDescent="0.3">
      <c r="B153" s="43" t="s">
        <v>100</v>
      </c>
      <c r="C153" s="6" t="s">
        <v>197</v>
      </c>
      <c r="D153" s="44">
        <f t="shared" si="9"/>
        <v>12</v>
      </c>
      <c r="E153" s="6" t="s">
        <v>56</v>
      </c>
      <c r="F153" s="9">
        <f>Y153+SUMIFS('บันทึกของเข้า-ออก'!$J:$J,'บันทึกของเข้า-ออก'!$B:$B,สรุป!$C153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3" s="9">
        <f>Z153+SUMIFS('บันทึกของเข้า-ออก'!$J:$J,'บันทึกของเข้า-ออก'!$B:$B,สรุป!$C153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3" s="9">
        <f>AA153+SUMIFS('บันทึกของเข้า-ออก'!$J:$J,'บันทึกของเข้า-ออก'!$B:$B,สรุป!$C153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3" s="9">
        <f>AB153+SUMIFS('บันทึกของเข้า-ออก'!$J:$J,'บันทึกของเข้า-ออก'!$B:$B,สรุป!$C153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3" s="9">
        <f>AC153+SUMIFS('บันทึกของเข้า-ออก'!$J:$J,'บันทึกของเข้า-ออก'!$B:$B,สรุป!$C153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J$5,'บันทึกของเข้า-ออก'!$D:$D,"&gt;="&amp;สรุป!$F$2,'บันทึกของเข้า-ออก'!$D:$D,"&lt;="&amp;สรุป!$G$2)</f>
        <v>12</v>
      </c>
      <c r="K153" s="9">
        <f>AD153+SUMIFS('บันทึกของเข้า-ออก'!$J:$J,'บันทึกของเข้า-ออก'!$B:$B,สรุป!$C153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3" s="9">
        <f>AE153+SUMIFS('บันทึกของเข้า-ออก'!$J:$J,'บันทึกของเข้า-ออก'!$B:$B,สรุป!$C153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3" s="9">
        <f>AF153+SUMIFS('บันทึกของเข้า-ออก'!$J:$J,'บันทึกของเข้า-ออก'!$B:$B,สรุป!$C153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3" s="9">
        <f>AG153+SUMIFS('บันทึกของเข้า-ออก'!$J:$J,'บันทึกของเข้า-ออก'!$B:$B,สรุป!$C153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3" s="9">
        <f>AH153+SUMIFS('บันทึกของเข้า-ออก'!$J:$J,'บันทึกของเข้า-ออก'!$B:$B,สรุป!$C153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3" s="9">
        <f>AI153+SUMIFS('บันทึกของเข้า-ออก'!$J:$J,'บันทึกของเข้า-ออก'!$B:$B,สรุป!$C153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3" s="9">
        <f>AJ153+SUMIFS('บันทึกของเข้า-ออก'!$J:$J,'บันทึกของเข้า-ออก'!$B:$B,สรุป!$C153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3" s="9">
        <f>AK153+SUMIFS('บันทึกของเข้า-ออก'!$J:$J,'บันทึกของเข้า-ออก'!$B:$B,สรุป!$C153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3" s="26"/>
      <c r="T153" s="33"/>
      <c r="U153" s="34"/>
      <c r="V153" s="25" t="str">
        <f>C153</f>
        <v>ล้อนั่งร้านแบบธรรมดา 6 นิ้ว</v>
      </c>
      <c r="W153" s="44">
        <v>12</v>
      </c>
      <c r="X153" s="35" t="s">
        <v>56</v>
      </c>
      <c r="Y153" s="26">
        <v>0</v>
      </c>
      <c r="Z153" s="26">
        <v>0</v>
      </c>
      <c r="AA153" s="26">
        <v>0</v>
      </c>
      <c r="AB153" s="26">
        <v>0</v>
      </c>
      <c r="AC153" s="26">
        <v>12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  <c r="AI153" s="26">
        <v>0</v>
      </c>
      <c r="AJ153" s="26">
        <v>0</v>
      </c>
      <c r="AK153" s="26">
        <v>0</v>
      </c>
      <c r="AL153" s="34"/>
    </row>
    <row r="154" spans="2:39" x14ac:dyDescent="0.3">
      <c r="B154" s="43" t="s">
        <v>100</v>
      </c>
      <c r="C154" s="6" t="s">
        <v>225</v>
      </c>
      <c r="D154" s="44">
        <f t="shared" si="9"/>
        <v>8</v>
      </c>
      <c r="E154" s="6" t="s">
        <v>56</v>
      </c>
      <c r="F154" s="9">
        <f>Y154+SUMIFS('บันทึกของเข้า-ออก'!$J:$J,'บันทึกของเข้า-ออก'!$B:$B,สรุป!$C154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4" s="9">
        <f>Z154+SUMIFS('บันทึกของเข้า-ออก'!$J:$J,'บันทึกของเข้า-ออก'!$B:$B,สรุป!$C154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G$5,'บันทึกของเข้า-ออก'!$D:$D,"&gt;="&amp;สรุป!$F$2,'บันทึกของเข้า-ออก'!$D:$D,"&lt;="&amp;สรุป!$G$2)</f>
        <v>4</v>
      </c>
      <c r="H154" s="9">
        <f>AA154+SUMIFS('บันทึกของเข้า-ออก'!$J:$J,'บันทึกของเข้า-ออก'!$B:$B,สรุป!$C154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4" s="9">
        <f>AB154+SUMIFS('บันทึกของเข้า-ออก'!$J:$J,'บันทึกของเข้า-ออก'!$B:$B,สรุป!$C154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4" s="9">
        <f>AC154+SUMIFS('บันทึกของเข้า-ออก'!$J:$J,'บันทึกของเข้า-ออก'!$B:$B,สรุป!$C154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4" s="9">
        <f>AD154+SUMIFS('บันทึกของเข้า-ออก'!$J:$J,'บันทึกของเข้า-ออก'!$B:$B,สรุป!$C154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4" s="9">
        <f>AE154+SUMIFS('บันทึกของเข้า-ออก'!$J:$J,'บันทึกของเข้า-ออก'!$B:$B,สรุป!$C154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4" s="9">
        <f>AF154+SUMIFS('บันทึกของเข้า-ออก'!$J:$J,'บันทึกของเข้า-ออก'!$B:$B,สรุป!$C154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4" s="9">
        <f>AG154+SUMIFS('บันทึกของเข้า-ออก'!$J:$J,'บันทึกของเข้า-ออก'!$B:$B,สรุป!$C154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N$5,'บันทึกของเข้า-ออก'!$D:$D,"&gt;="&amp;สรุป!$F$2,'บันทึกของเข้า-ออก'!$D:$D,"&lt;="&amp;สรุป!$G$2)</f>
        <v>4</v>
      </c>
      <c r="O154" s="9">
        <f>AH154+SUMIFS('บันทึกของเข้า-ออก'!$J:$J,'บันทึกของเข้า-ออก'!$B:$B,สรุป!$C154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4" s="9">
        <f>AI154+SUMIFS('บันทึกของเข้า-ออก'!$J:$J,'บันทึกของเข้า-ออก'!$B:$B,สรุป!$C154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4" s="9">
        <f>AJ154+SUMIFS('บันทึกของเข้า-ออก'!$J:$J,'บันทึกของเข้า-ออก'!$B:$B,สรุป!$C154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4" s="9">
        <f>AK154+SUMIFS('บันทึกของเข้า-ออก'!$J:$J,'บันทึกของเข้า-ออก'!$B:$B,สรุป!$C154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4" s="26"/>
      <c r="T154" s="33"/>
      <c r="U154" s="34"/>
      <c r="V154" s="25" t="str">
        <f>C154</f>
        <v>ล้อนั่งร้านแบบธรรมดา 8 นิ้ว</v>
      </c>
      <c r="W154" s="44">
        <v>4</v>
      </c>
      <c r="X154" s="35" t="s">
        <v>56</v>
      </c>
      <c r="Y154" s="26">
        <v>0</v>
      </c>
      <c r="Z154" s="26">
        <v>4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  <c r="AF154" s="26">
        <v>0</v>
      </c>
      <c r="AG154" s="26">
        <v>0</v>
      </c>
      <c r="AH154" s="26">
        <v>0</v>
      </c>
      <c r="AI154" s="26">
        <v>0</v>
      </c>
      <c r="AJ154" s="26">
        <v>0</v>
      </c>
      <c r="AK154" s="26">
        <v>0</v>
      </c>
      <c r="AL154" s="34"/>
    </row>
    <row r="155" spans="2:39" x14ac:dyDescent="0.3">
      <c r="B155" s="43" t="s">
        <v>177</v>
      </c>
      <c r="C155" s="6" t="s">
        <v>216</v>
      </c>
      <c r="D155" s="44">
        <f t="shared" si="9"/>
        <v>1</v>
      </c>
      <c r="E155" s="6" t="s">
        <v>59</v>
      </c>
      <c r="F155" s="9">
        <f>Y155+SUMIFS('บันทึกของเข้า-ออก'!$J:$J,'บันทึกของเข้า-ออก'!$B:$B,สรุป!$C155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5" s="9">
        <f>Z155+SUMIFS('บันทึกของเข้า-ออก'!$J:$J,'บันทึกของเข้า-ออก'!$B:$B,สรุป!$C155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5" s="9">
        <f>AA155+SUMIFS('บันทึกของเข้า-ออก'!$J:$J,'บันทึกของเข้า-ออก'!$B:$B,สรุป!$C155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5" s="9">
        <f>AB155+SUMIFS('บันทึกของเข้า-ออก'!$J:$J,'บันทึกของเข้า-ออก'!$B:$B,สรุป!$C155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5" s="9">
        <f>AC155+SUMIFS('บันทึกของเข้า-ออก'!$J:$J,'บันทึกของเข้า-ออก'!$B:$B,สรุป!$C155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155" s="9">
        <f>AD155+SUMIFS('บันทึกของเข้า-ออก'!$J:$J,'บันทึกของเข้า-ออก'!$B:$B,สรุป!$C155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5" s="9">
        <f>AE155+SUMIFS('บันทึกของเข้า-ออก'!$J:$J,'บันทึกของเข้า-ออก'!$B:$B,สรุป!$C155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5" s="9">
        <f>AF155+SUMIFS('บันทึกของเข้า-ออก'!$J:$J,'บันทึกของเข้า-ออก'!$B:$B,สรุป!$C155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5" s="9">
        <f>AG155+SUMIFS('บันทึกของเข้า-ออก'!$J:$J,'บันทึกของเข้า-ออก'!$B:$B,สรุป!$C155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5" s="9">
        <f>AH155+SUMIFS('บันทึกของเข้า-ออก'!$J:$J,'บันทึกของเข้า-ออก'!$B:$B,สรุป!$C155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5" s="9">
        <f>AI155+SUMIFS('บันทึกของเข้า-ออก'!$J:$J,'บันทึกของเข้า-ออก'!$B:$B,สรุป!$C155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5" s="9">
        <f>AJ155+SUMIFS('บันทึกของเข้า-ออก'!$J:$J,'บันทึกของเข้า-ออก'!$B:$B,สรุป!$C155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5" s="9">
        <f>AK155+SUMIFS('บันทึกของเข้า-ออก'!$J:$J,'บันทึกของเข้า-ออก'!$B:$B,สรุป!$C155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5" s="26"/>
      <c r="T155" s="33"/>
      <c r="U155" s="34"/>
      <c r="V155" s="25" t="str">
        <f>C155</f>
        <v>เศษตะแกรงไวเมท</v>
      </c>
      <c r="W155" s="44">
        <v>1</v>
      </c>
      <c r="X155" s="35" t="s">
        <v>59</v>
      </c>
      <c r="Y155" s="26">
        <v>0</v>
      </c>
      <c r="Z155" s="26">
        <v>0</v>
      </c>
      <c r="AA155" s="26">
        <v>0</v>
      </c>
      <c r="AB155" s="26">
        <v>0</v>
      </c>
      <c r="AC155" s="26">
        <v>1</v>
      </c>
      <c r="AD155" s="26">
        <v>0</v>
      </c>
      <c r="AE155" s="26">
        <v>0</v>
      </c>
      <c r="AF155" s="26">
        <v>0</v>
      </c>
      <c r="AG155" s="26">
        <v>0</v>
      </c>
      <c r="AH155" s="26">
        <v>0</v>
      </c>
      <c r="AI155" s="26">
        <v>0</v>
      </c>
      <c r="AJ155" s="26">
        <v>0</v>
      </c>
      <c r="AK155" s="26">
        <v>0</v>
      </c>
      <c r="AL155" s="34"/>
    </row>
    <row r="156" spans="2:39" x14ac:dyDescent="0.3">
      <c r="B156" s="43" t="s">
        <v>177</v>
      </c>
      <c r="C156" s="6" t="s">
        <v>399</v>
      </c>
      <c r="D156" s="44">
        <f t="shared" si="9"/>
        <v>16</v>
      </c>
      <c r="E156" s="6" t="s">
        <v>57</v>
      </c>
      <c r="F156" s="9">
        <v>16</v>
      </c>
      <c r="G156" s="9">
        <f>Z156+SUMIFS('บันทึกของเข้า-ออก'!$J:$J,'บันทึกของเข้า-ออก'!$B:$B,สรุป!$C156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6" s="9">
        <f>AA156+SUMIFS('บันทึกของเข้า-ออก'!$J:$J,'บันทึกของเข้า-ออก'!$B:$B,สรุป!$C156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6" s="9">
        <f>AB156+SUMIFS('บันทึกของเข้า-ออก'!$J:$J,'บันทึกของเข้า-ออก'!$B:$B,สรุป!$C156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6" s="9">
        <f>AC156+SUMIFS('บันทึกของเข้า-ออก'!$J:$J,'บันทึกของเข้า-ออก'!$B:$B,สรุป!$C156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6" s="9">
        <f>AD156+SUMIFS('บันทึกของเข้า-ออก'!$J:$J,'บันทึกของเข้า-ออก'!$B:$B,สรุป!$C156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6" s="9">
        <f>AE156+SUMIFS('บันทึกของเข้า-ออก'!$J:$J,'บันทึกของเข้า-ออก'!$B:$B,สรุป!$C156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6" s="9">
        <f>AF156+SUMIFS('บันทึกของเข้า-ออก'!$J:$J,'บันทึกของเข้า-ออก'!$B:$B,สรุป!$C156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6" s="9">
        <f>AG156+SUMIFS('บันทึกของเข้า-ออก'!$J:$J,'บันทึกของเข้า-ออก'!$B:$B,สรุป!$C156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6" s="9">
        <f>AH156+SUMIFS('บันทึกของเข้า-ออก'!$J:$J,'บันทึกของเข้า-ออก'!$B:$B,สรุป!$C156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6" s="9">
        <f>AI156+SUMIFS('บันทึกของเข้า-ออก'!$J:$J,'บันทึกของเข้า-ออก'!$B:$B,สรุป!$C156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6" s="9">
        <f>AJ156+SUMIFS('บันทึกของเข้า-ออก'!$J:$J,'บันทึกของเข้า-ออก'!$B:$B,สรุป!$C156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6" s="9">
        <f>AK156+SUMIFS('บันทึกของเข้า-ออก'!$J:$J,'บันทึกของเข้า-ออก'!$B:$B,สรุป!$C156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6" s="26"/>
      <c r="T156" s="33"/>
      <c r="U156" s="34"/>
      <c r="V156" s="6" t="s">
        <v>264</v>
      </c>
      <c r="W156" s="81">
        <v>0</v>
      </c>
      <c r="X156" s="35" t="s">
        <v>57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0</v>
      </c>
      <c r="AH156" s="26">
        <v>0</v>
      </c>
      <c r="AI156" s="26">
        <v>0</v>
      </c>
      <c r="AJ156" s="26">
        <v>0</v>
      </c>
      <c r="AK156" s="26">
        <v>0</v>
      </c>
      <c r="AL156" s="34"/>
    </row>
    <row r="157" spans="2:39" x14ac:dyDescent="0.3">
      <c r="B157" s="43" t="s">
        <v>177</v>
      </c>
      <c r="C157" s="6" t="s">
        <v>400</v>
      </c>
      <c r="D157" s="44">
        <f t="shared" si="9"/>
        <v>10</v>
      </c>
      <c r="E157" s="6" t="s">
        <v>57</v>
      </c>
      <c r="F157" s="9">
        <v>10</v>
      </c>
      <c r="G157" s="9">
        <f>Z157+SUMIFS('บันทึกของเข้า-ออก'!$J:$J,'บันทึกของเข้า-ออก'!$B:$B,สรุป!$C157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7" s="9">
        <f>AA157+SUMIFS('บันทึกของเข้า-ออก'!$J:$J,'บันทึกของเข้า-ออก'!$B:$B,สรุป!$C157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7" s="9">
        <f>AB157+SUMIFS('บันทึกของเข้า-ออก'!$J:$J,'บันทึกของเข้า-ออก'!$B:$B,สรุป!$C157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7" s="9">
        <f>AC157+SUMIFS('บันทึกของเข้า-ออก'!$J:$J,'บันทึกของเข้า-ออก'!$B:$B,สรุป!$C157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7" s="9">
        <f>AD157+SUMIFS('บันทึกของเข้า-ออก'!$J:$J,'บันทึกของเข้า-ออก'!$B:$B,สรุป!$C157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7" s="9">
        <f>AE157+SUMIFS('บันทึกของเข้า-ออก'!$J:$J,'บันทึกของเข้า-ออก'!$B:$B,สรุป!$C157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7" s="9">
        <f>AF157+SUMIFS('บันทึกของเข้า-ออก'!$J:$J,'บันทึกของเข้า-ออก'!$B:$B,สรุป!$C157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7" s="9">
        <f>AG157+SUMIFS('บันทึกของเข้า-ออก'!$J:$J,'บันทึกของเข้า-ออก'!$B:$B,สรุป!$C157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7" s="9">
        <f>AH157+SUMIFS('บันทึกของเข้า-ออก'!$J:$J,'บันทึกของเข้า-ออก'!$B:$B,สรุป!$C157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7" s="9">
        <f>AI157+SUMIFS('บันทึกของเข้า-ออก'!$J:$J,'บันทึกของเข้า-ออก'!$B:$B,สรุป!$C157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7" s="9">
        <f>AJ157+SUMIFS('บันทึกของเข้า-ออก'!$J:$J,'บันทึกของเข้า-ออก'!$B:$B,สรุป!$C157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7" s="9">
        <f>AK157+SUMIFS('บันทึกของเข้า-ออก'!$J:$J,'บันทึกของเข้า-ออก'!$B:$B,สรุป!$C157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7" s="26"/>
      <c r="T157" s="33"/>
      <c r="U157" s="34"/>
      <c r="V157" s="25" t="str">
        <f t="shared" ref="V157:V188" si="17">C157</f>
        <v>เหล็ก DB 16มม.ยาว 6 ม.</v>
      </c>
      <c r="W157" s="81">
        <v>0</v>
      </c>
      <c r="X157" s="35" t="s">
        <v>57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34"/>
    </row>
    <row r="158" spans="2:39" x14ac:dyDescent="0.3">
      <c r="B158" s="43" t="s">
        <v>177</v>
      </c>
      <c r="C158" s="6" t="s">
        <v>401</v>
      </c>
      <c r="D158" s="44">
        <f t="shared" si="9"/>
        <v>5</v>
      </c>
      <c r="E158" s="6" t="s">
        <v>57</v>
      </c>
      <c r="F158" s="9">
        <v>5</v>
      </c>
      <c r="G158" s="9">
        <f>Z158+SUMIFS('บันทึกของเข้า-ออก'!$J:$J,'บันทึกของเข้า-ออก'!$B:$B,สรุป!$C158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8" s="9">
        <f>AA158+SUMIFS('บันทึกของเข้า-ออก'!$J:$J,'บันทึกของเข้า-ออก'!$B:$B,สรุป!$C158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8" s="9">
        <f>AB158+SUMIFS('บันทึกของเข้า-ออก'!$J:$J,'บันทึกของเข้า-ออก'!$B:$B,สรุป!$C158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8" s="9">
        <f>AC158+SUMIFS('บันทึกของเข้า-ออก'!$J:$J,'บันทึกของเข้า-ออก'!$B:$B,สรุป!$C158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8" s="9">
        <f>AD158+SUMIFS('บันทึกของเข้า-ออก'!$J:$J,'บันทึกของเข้า-ออก'!$B:$B,สรุป!$C158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8" s="9">
        <f>AE158+SUMIFS('บันทึกของเข้า-ออก'!$J:$J,'บันทึกของเข้า-ออก'!$B:$B,สรุป!$C158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8" s="9">
        <f>AF158+SUMIFS('บันทึกของเข้า-ออก'!$J:$J,'บันทึกของเข้า-ออก'!$B:$B,สรุป!$C158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8" s="9">
        <f>AG158+SUMIFS('บันทึกของเข้า-ออก'!$J:$J,'บันทึกของเข้า-ออก'!$B:$B,สรุป!$C158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8" s="9">
        <f>AH158+SUMIFS('บันทึกของเข้า-ออก'!$J:$J,'บันทึกของเข้า-ออก'!$B:$B,สรุป!$C158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8" s="9">
        <f>AI158+SUMIFS('บันทึกของเข้า-ออก'!$J:$J,'บันทึกของเข้า-ออก'!$B:$B,สรุป!$C158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8" s="9">
        <f>AJ158+SUMIFS('บันทึกของเข้า-ออก'!$J:$J,'บันทึกของเข้า-ออก'!$B:$B,สรุป!$C158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8" s="9">
        <f>AK158+SUMIFS('บันทึกของเข้า-ออก'!$J:$J,'บันทึกของเข้า-ออก'!$B:$B,สรุป!$C158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8" s="26"/>
      <c r="T158" s="33"/>
      <c r="U158" s="34"/>
      <c r="V158" s="25" t="str">
        <f t="shared" si="17"/>
        <v>เหล็ก DB 20มม.ยาว 6 ม</v>
      </c>
      <c r="W158" s="81">
        <v>20</v>
      </c>
      <c r="X158" s="35" t="s">
        <v>57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  <c r="AF158" s="26">
        <v>0</v>
      </c>
      <c r="AG158" s="26">
        <v>0</v>
      </c>
      <c r="AH158" s="26">
        <v>0</v>
      </c>
      <c r="AI158" s="26">
        <v>0</v>
      </c>
      <c r="AJ158" s="26">
        <v>0</v>
      </c>
      <c r="AK158" s="26">
        <v>0</v>
      </c>
      <c r="AL158" s="34"/>
    </row>
    <row r="159" spans="2:39" x14ac:dyDescent="0.3">
      <c r="B159" s="43" t="s">
        <v>177</v>
      </c>
      <c r="C159" s="6" t="s">
        <v>140</v>
      </c>
      <c r="D159" s="44">
        <f t="shared" si="9"/>
        <v>0</v>
      </c>
      <c r="E159" s="6" t="s">
        <v>57</v>
      </c>
      <c r="F159" s="9">
        <f>Y159+SUMIFS('บันทึกของเข้า-ออก'!$J:$J,'บันทึกของเข้า-ออก'!$B:$B,สรุป!$C159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59" s="9">
        <f>Z159+SUMIFS('บันทึกของเข้า-ออก'!$J:$J,'บันทึกของเข้า-ออก'!$B:$B,สรุป!$C159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59" s="9">
        <f>AA159+SUMIFS('บันทึกของเข้า-ออก'!$J:$J,'บันทึกของเข้า-ออก'!$B:$B,สรุป!$C159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59" s="9">
        <f>AB159+SUMIFS('บันทึกของเข้า-ออก'!$J:$J,'บันทึกของเข้า-ออก'!$B:$B,สรุป!$C159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59" s="9">
        <f>AC159+SUMIFS('บันทึกของเข้า-ออก'!$J:$J,'บันทึกของเข้า-ออก'!$B:$B,สรุป!$C159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59" s="9">
        <f>AD159+SUMIFS('บันทึกของเข้า-ออก'!$J:$J,'บันทึกของเข้า-ออก'!$B:$B,สรุป!$C159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59" s="9">
        <f>AE159+SUMIFS('บันทึกของเข้า-ออก'!$J:$J,'บันทึกของเข้า-ออก'!$B:$B,สรุป!$C159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59" s="9">
        <f>AF159+SUMIFS('บันทึกของเข้า-ออก'!$J:$J,'บันทึกของเข้า-ออก'!$B:$B,สรุป!$C159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59" s="9">
        <f>AG159+SUMIFS('บันทึกของเข้า-ออก'!$J:$J,'บันทึกของเข้า-ออก'!$B:$B,สรุป!$C159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59" s="9">
        <f>AH159+SUMIFS('บันทึกของเข้า-ออก'!$J:$J,'บันทึกของเข้า-ออก'!$B:$B,สรุป!$C159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59" s="9">
        <f>AI159+SUMIFS('บันทึกของเข้า-ออก'!$J:$J,'บันทึกของเข้า-ออก'!$B:$B,สรุป!$C159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59" s="9">
        <f>AJ159+SUMIFS('บันทึกของเข้า-ออก'!$J:$J,'บันทึกของเข้า-ออก'!$B:$B,สรุป!$C159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59" s="9">
        <f>AK159+SUMIFS('บันทึกของเข้า-ออก'!$J:$J,'บันทึกของเข้า-ออก'!$B:$B,สรุป!$C159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159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59" s="26"/>
      <c r="T159" s="33"/>
      <c r="U159" s="34"/>
      <c r="V159" s="25" t="str">
        <f t="shared" si="17"/>
        <v>เหล็ก DB 20  *4 ม**เศษ</v>
      </c>
      <c r="W159" s="81">
        <v>0</v>
      </c>
      <c r="X159" s="35" t="s">
        <v>57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  <c r="AF159" s="26">
        <v>0</v>
      </c>
      <c r="AG159" s="26">
        <v>0</v>
      </c>
      <c r="AH159" s="26">
        <v>0</v>
      </c>
      <c r="AI159" s="26">
        <v>0</v>
      </c>
      <c r="AJ159" s="26">
        <v>0</v>
      </c>
      <c r="AK159" s="26">
        <v>0</v>
      </c>
      <c r="AL159" s="34"/>
    </row>
    <row r="160" spans="2:39" x14ac:dyDescent="0.3">
      <c r="B160" s="43" t="s">
        <v>177</v>
      </c>
      <c r="C160" s="6" t="s">
        <v>165</v>
      </c>
      <c r="D160" s="44">
        <f t="shared" si="9"/>
        <v>0</v>
      </c>
      <c r="E160" s="6" t="s">
        <v>59</v>
      </c>
      <c r="F160" s="9">
        <f>Y160+SUMIFS('บันทึกของเข้า-ออก'!$J:$J,'บันทึกของเข้า-ออก'!$B:$B,สรุป!$C160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0" s="9">
        <f>Z160+SUMIFS('บันทึกของเข้า-ออก'!$J:$J,'บันทึกของเข้า-ออก'!$B:$B,สรุป!$C160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0" s="9">
        <f>AA160+SUMIFS('บันทึกของเข้า-ออก'!$J:$J,'บันทึกของเข้า-ออก'!$B:$B,สรุป!$C160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0" s="9">
        <f>AB160+SUMIFS('บันทึกของเข้า-ออก'!$J:$J,'บันทึกของเข้า-ออก'!$B:$B,สรุป!$C160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0" s="9">
        <f>AC160+SUMIFS('บันทึกของเข้า-ออก'!$J:$J,'บันทึกของเข้า-ออก'!$B:$B,สรุป!$C160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0" s="9">
        <f>AD160+SUMIFS('บันทึกของเข้า-ออก'!$J:$J,'บันทึกของเข้า-ออก'!$B:$B,สรุป!$C160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0" s="9">
        <f>AE160+SUMIFS('บันทึกของเข้า-ออก'!$J:$J,'บันทึกของเข้า-ออก'!$B:$B,สรุป!$C160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0" s="9">
        <f>AF160+SUMIFS('บันทึกของเข้า-ออก'!$J:$J,'บันทึกของเข้า-ออก'!$B:$B,สรุป!$C160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0" s="9">
        <f>AG160+SUMIFS('บันทึกของเข้า-ออก'!$J:$J,'บันทึกของเข้า-ออก'!$B:$B,สรุป!$C160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0" s="9">
        <f>AH160+SUMIFS('บันทึกของเข้า-ออก'!$J:$J,'บันทึกของเข้า-ออก'!$B:$B,สรุป!$C160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0" s="9">
        <f>AI160+SUMIFS('บันทึกของเข้า-ออก'!$J:$J,'บันทึกของเข้า-ออก'!$B:$B,สรุป!$C160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0" s="9">
        <f>AJ160+SUMIFS('บันทึกของเข้า-ออก'!$J:$J,'บันทึกของเข้า-ออก'!$B:$B,สรุป!$C160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0" s="9">
        <f>AK160+SUMIFS('บันทึกของเข้า-ออก'!$J:$J,'บันทึกของเข้า-ออก'!$B:$B,สรุป!$C160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0" s="26"/>
      <c r="T160" s="33"/>
      <c r="U160" s="34"/>
      <c r="V160" s="25" t="str">
        <f t="shared" si="17"/>
        <v>แฟลชชิ่ง 3 ม</v>
      </c>
      <c r="W160" s="81">
        <v>8</v>
      </c>
      <c r="X160" s="35" t="s">
        <v>59</v>
      </c>
      <c r="Y160" s="26">
        <v>0</v>
      </c>
      <c r="Z160" s="26">
        <v>0</v>
      </c>
      <c r="AA160" s="26">
        <v>0</v>
      </c>
      <c r="AB160" s="26">
        <v>0</v>
      </c>
      <c r="AC160" s="26">
        <v>0</v>
      </c>
      <c r="AD160" s="26">
        <v>0</v>
      </c>
      <c r="AE160" s="26">
        <v>0</v>
      </c>
      <c r="AF160" s="26">
        <v>0</v>
      </c>
      <c r="AG160" s="26">
        <v>0</v>
      </c>
      <c r="AH160" s="26">
        <v>0</v>
      </c>
      <c r="AI160" s="26">
        <v>0</v>
      </c>
      <c r="AJ160" s="26">
        <v>0</v>
      </c>
      <c r="AK160" s="26">
        <v>0</v>
      </c>
      <c r="AL160" s="34"/>
    </row>
    <row r="161" spans="2:38" x14ac:dyDescent="0.3">
      <c r="B161" s="43" t="s">
        <v>177</v>
      </c>
      <c r="C161" s="6" t="s">
        <v>82</v>
      </c>
      <c r="D161" s="44">
        <f t="shared" si="9"/>
        <v>0</v>
      </c>
      <c r="E161" s="6" t="s">
        <v>80</v>
      </c>
      <c r="F161" s="9">
        <f>Y161+SUMIFS('บันทึกของเข้า-ออก'!$J:$J,'บันทึกของเข้า-ออก'!$B:$B,สรุป!$C161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1" s="9">
        <f>Z161+SUMIFS('บันทึกของเข้า-ออก'!$J:$J,'บันทึกของเข้า-ออก'!$B:$B,สรุป!$C161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1" s="9">
        <f>AA161+SUMIFS('บันทึกของเข้า-ออก'!$J:$J,'บันทึกของเข้า-ออก'!$B:$B,สรุป!$C161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1" s="9">
        <f>AB161+SUMIFS('บันทึกของเข้า-ออก'!$J:$J,'บันทึกของเข้า-ออก'!$B:$B,สรุป!$C161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1" s="9">
        <f>AC161+SUMIFS('บันทึกของเข้า-ออก'!$J:$J,'บันทึกของเข้า-ออก'!$B:$B,สรุป!$C161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1" s="9">
        <f>AD161+SUMIFS('บันทึกของเข้า-ออก'!$J:$J,'บันทึกของเข้า-ออก'!$B:$B,สรุป!$C161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1" s="9">
        <f>AE161+SUMIFS('บันทึกของเข้า-ออก'!$J:$J,'บันทึกของเข้า-ออก'!$B:$B,สรุป!$C161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1" s="9">
        <f>AF161+SUMIFS('บันทึกของเข้า-ออก'!$J:$J,'บันทึกของเข้า-ออก'!$B:$B,สรุป!$C161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1" s="9">
        <f>AG161+SUMIFS('บันทึกของเข้า-ออก'!$J:$J,'บันทึกของเข้า-ออก'!$B:$B,สรุป!$C161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1" s="9">
        <f>AH161+SUMIFS('บันทึกของเข้า-ออก'!$J:$J,'บันทึกของเข้า-ออก'!$B:$B,สรุป!$C161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1" s="9">
        <f>AI161+SUMIFS('บันทึกของเข้า-ออก'!$J:$J,'บันทึกของเข้า-ออก'!$B:$B,สรุป!$C161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1" s="9">
        <f>AJ161+SUMIFS('บันทึกของเข้า-ออก'!$J:$J,'บันทึกของเข้า-ออก'!$B:$B,สรุป!$C161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1" s="9">
        <f>AK161+SUMIFS('บันทึกของเข้า-ออก'!$J:$J,'บันทึกของเข้า-ออก'!$B:$B,สรุป!$C161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1" s="26"/>
      <c r="T161" s="33"/>
      <c r="U161" s="34"/>
      <c r="V161" s="25" t="str">
        <f t="shared" si="17"/>
        <v>ตะแกรงกรงไก่</v>
      </c>
      <c r="W161" s="81">
        <v>6</v>
      </c>
      <c r="X161" s="35" t="s">
        <v>80</v>
      </c>
      <c r="Y161" s="26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  <c r="AF161" s="26">
        <v>0</v>
      </c>
      <c r="AG161" s="26">
        <v>0</v>
      </c>
      <c r="AH161" s="26">
        <v>0</v>
      </c>
      <c r="AI161" s="26">
        <v>0</v>
      </c>
      <c r="AJ161" s="26">
        <v>0</v>
      </c>
      <c r="AK161" s="26">
        <v>0</v>
      </c>
      <c r="AL161" s="34"/>
    </row>
    <row r="162" spans="2:38" x14ac:dyDescent="0.3">
      <c r="B162" s="43" t="s">
        <v>177</v>
      </c>
      <c r="C162" s="6" t="s">
        <v>226</v>
      </c>
      <c r="D162" s="44">
        <f t="shared" ref="D162:D225" si="18">SUMIF(F162:T162,"&gt;0")</f>
        <v>0</v>
      </c>
      <c r="E162" s="6" t="s">
        <v>57</v>
      </c>
      <c r="F162" s="9">
        <f>Y162+SUMIFS('บันทึกของเข้า-ออก'!$J:$J,'บันทึกของเข้า-ออก'!$B:$B,สรุป!$C162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2" s="9">
        <f>Z162+SUMIFS('บันทึกของเข้า-ออก'!$J:$J,'บันทึกของเข้า-ออก'!$B:$B,สรุป!$C162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2" s="9">
        <f>AA162+SUMIFS('บันทึกของเข้า-ออก'!$J:$J,'บันทึกของเข้า-ออก'!$B:$B,สรุป!$C162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2" s="9">
        <f>AB162+SUMIFS('บันทึกของเข้า-ออก'!$J:$J,'บันทึกของเข้า-ออก'!$B:$B,สรุป!$C162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2" s="9">
        <f>AC162+SUMIFS('บันทึกของเข้า-ออก'!$J:$J,'บันทึกของเข้า-ออก'!$B:$B,สรุป!$C162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2" s="9">
        <f>AD162+SUMIFS('บันทึกของเข้า-ออก'!$J:$J,'บันทึกของเข้า-ออก'!$B:$B,สรุป!$C162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2" s="9">
        <f>AE162+SUMIFS('บันทึกของเข้า-ออก'!$J:$J,'บันทึกของเข้า-ออก'!$B:$B,สรุป!$C162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2" s="9">
        <f>AF162+SUMIFS('บันทึกของเข้า-ออก'!$J:$J,'บันทึกของเข้า-ออก'!$B:$B,สรุป!$C162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2" s="9">
        <f>AG162+SUMIFS('บันทึกของเข้า-ออก'!$J:$J,'บันทึกของเข้า-ออก'!$B:$B,สรุป!$C162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2" s="9">
        <f>AH162+SUMIFS('บันทึกของเข้า-ออก'!$J:$J,'บันทึกของเข้า-ออก'!$B:$B,สรุป!$C162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2" s="9">
        <f>AI162+SUMIFS('บันทึกของเข้า-ออก'!$J:$J,'บันทึกของเข้า-ออก'!$B:$B,สรุป!$C162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2" s="9">
        <f>AJ162+SUMIFS('บันทึกของเข้า-ออก'!$J:$J,'บันทึกของเข้า-ออก'!$B:$B,สรุป!$C162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2" s="9">
        <f>AK162+SUMIFS('บันทึกของเข้า-ออก'!$J:$J,'บันทึกของเข้า-ออก'!$B:$B,สรุป!$C162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2" s="26"/>
      <c r="T162" s="33"/>
      <c r="U162" s="34"/>
      <c r="V162" s="25" t="str">
        <f t="shared" si="17"/>
        <v>ท่อ PVC 4 หุน 6 ม.</v>
      </c>
      <c r="W162" s="81">
        <v>43</v>
      </c>
      <c r="X162" s="35" t="s">
        <v>57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  <c r="AG162" s="26">
        <v>0</v>
      </c>
      <c r="AH162" s="26">
        <v>0</v>
      </c>
      <c r="AI162" s="26">
        <v>0</v>
      </c>
      <c r="AJ162" s="26">
        <v>0</v>
      </c>
      <c r="AK162" s="26">
        <v>0</v>
      </c>
      <c r="AL162" s="34"/>
    </row>
    <row r="163" spans="2:38" x14ac:dyDescent="0.3">
      <c r="B163" s="43" t="s">
        <v>177</v>
      </c>
      <c r="C163" s="6" t="s">
        <v>192</v>
      </c>
      <c r="D163" s="44">
        <f t="shared" si="18"/>
        <v>0</v>
      </c>
      <c r="E163" s="6" t="s">
        <v>57</v>
      </c>
      <c r="F163" s="9">
        <f>Y163+SUMIFS('บันทึกของเข้า-ออก'!$J:$J,'บันทึกของเข้า-ออก'!$B:$B,สรุป!$C163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3" s="9">
        <f>Z163+SUMIFS('บันทึกของเข้า-ออก'!$J:$J,'บันทึกของเข้า-ออก'!$B:$B,สรุป!$C163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3" s="9">
        <f>AA163+SUMIFS('บันทึกของเข้า-ออก'!$J:$J,'บันทึกของเข้า-ออก'!$B:$B,สรุป!$C163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3" s="9">
        <f>AB163+SUMIFS('บันทึกของเข้า-ออก'!$J:$J,'บันทึกของเข้า-ออก'!$B:$B,สรุป!$C163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3" s="9">
        <f>AC163+SUMIFS('บันทึกของเข้า-ออก'!$J:$J,'บันทึกของเข้า-ออก'!$B:$B,สรุป!$C163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3" s="9">
        <f>AD163+SUMIFS('บันทึกของเข้า-ออก'!$J:$J,'บันทึกของเข้า-ออก'!$B:$B,สรุป!$C163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3" s="9">
        <f>AE163+SUMIFS('บันทึกของเข้า-ออก'!$J:$J,'บันทึกของเข้า-ออก'!$B:$B,สรุป!$C163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3" s="9">
        <f>AF163+SUMIFS('บันทึกของเข้า-ออก'!$J:$J,'บันทึกของเข้า-ออก'!$B:$B,สรุป!$C163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3" s="9">
        <f>AG163+SUMIFS('บันทึกของเข้า-ออก'!$J:$J,'บันทึกของเข้า-ออก'!$B:$B,สรุป!$C163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3" s="9">
        <f>AH163+SUMIFS('บันทึกของเข้า-ออก'!$J:$J,'บันทึกของเข้า-ออก'!$B:$B,สรุป!$C163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3" s="9">
        <f>AI163+SUMIFS('บันทึกของเข้า-ออก'!$J:$J,'บันทึกของเข้า-ออก'!$B:$B,สรุป!$C163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3" s="9">
        <f>AJ163+SUMIFS('บันทึกของเข้า-ออก'!$J:$J,'บันทึกของเข้า-ออก'!$B:$B,สรุป!$C163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3" s="9">
        <f>AK163+SUMIFS('บันทึกของเข้า-ออก'!$J:$J,'บันทึกของเข้า-ออก'!$B:$B,สรุป!$C163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3" s="26"/>
      <c r="T163" s="33"/>
      <c r="U163" s="34"/>
      <c r="V163" s="25" t="str">
        <f t="shared" si="17"/>
        <v>ท่อ PVC 4 หุน ยาว 2-3 ม</v>
      </c>
      <c r="W163" s="81">
        <v>20</v>
      </c>
      <c r="X163" s="35" t="s">
        <v>57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  <c r="AG163" s="26">
        <v>0</v>
      </c>
      <c r="AH163" s="26">
        <v>0</v>
      </c>
      <c r="AI163" s="26">
        <v>0</v>
      </c>
      <c r="AJ163" s="26">
        <v>0</v>
      </c>
      <c r="AK163" s="26">
        <v>0</v>
      </c>
      <c r="AL163" s="34"/>
    </row>
    <row r="164" spans="2:38" x14ac:dyDescent="0.3">
      <c r="B164" s="43" t="s">
        <v>177</v>
      </c>
      <c r="C164" s="6" t="s">
        <v>262</v>
      </c>
      <c r="D164" s="44">
        <f t="shared" si="18"/>
        <v>0</v>
      </c>
      <c r="E164" s="6" t="s">
        <v>59</v>
      </c>
      <c r="F164" s="9">
        <f>Y164+SUMIFS('บันทึกของเข้า-ออก'!$J:$J,'บันทึกของเข้า-ออก'!$B:$B,สรุป!$C164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4" s="9">
        <f>Z164+SUMIFS('บันทึกของเข้า-ออก'!$J:$J,'บันทึกของเข้า-ออก'!$B:$B,สรุป!$C164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4" s="9">
        <f>AA164+SUMIFS('บันทึกของเข้า-ออก'!$J:$J,'บันทึกของเข้า-ออก'!$B:$B,สรุป!$C164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4" s="9">
        <f>AB164+SUMIFS('บันทึกของเข้า-ออก'!$J:$J,'บันทึกของเข้า-ออก'!$B:$B,สรุป!$C164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4" s="9">
        <f>AC164+SUMIFS('บันทึกของเข้า-ออก'!$J:$J,'บันทึกของเข้า-ออก'!$B:$B,สรุป!$C164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4" s="9">
        <f>AD164+SUMIFS('บันทึกของเข้า-ออก'!$J:$J,'บันทึกของเข้า-ออก'!$B:$B,สรุป!$C164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4" s="9">
        <f>AE164+SUMIFS('บันทึกของเข้า-ออก'!$J:$J,'บันทึกของเข้า-ออก'!$B:$B,สรุป!$C164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4" s="9">
        <f>AF164+SUMIFS('บันทึกของเข้า-ออก'!$J:$J,'บันทึกของเข้า-ออก'!$B:$B,สรุป!$C164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4" s="9">
        <f>AG164+SUMIFS('บันทึกของเข้า-ออก'!$J:$J,'บันทึกของเข้า-ออก'!$B:$B,สรุป!$C164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4" s="9">
        <f>AH164+SUMIFS('บันทึกของเข้า-ออก'!$J:$J,'บันทึกของเข้า-ออก'!$B:$B,สรุป!$C164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4" s="9">
        <f>AI164+SUMIFS('บันทึกของเข้า-ออก'!$J:$J,'บันทึกของเข้า-ออก'!$B:$B,สรุป!$C164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4" s="9">
        <f>AJ164+SUMIFS('บันทึกของเข้า-ออก'!$J:$J,'บันทึกของเข้า-ออก'!$B:$B,สรุป!$C164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4" s="9">
        <f>AK164+SUMIFS('บันทึกของเข้า-ออก'!$J:$J,'บันทึกของเข้า-ออก'!$B:$B,สรุป!$C164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4" s="26"/>
      <c r="T164" s="33"/>
      <c r="U164" s="34"/>
      <c r="V164" s="25" t="str">
        <f t="shared" si="17"/>
        <v>เศษไม้อัด 2*2</v>
      </c>
      <c r="W164" s="81">
        <v>0</v>
      </c>
      <c r="X164" s="35" t="s">
        <v>59</v>
      </c>
      <c r="Y164" s="26">
        <v>0</v>
      </c>
      <c r="Z164" s="26">
        <v>0</v>
      </c>
      <c r="AA164" s="26">
        <v>0</v>
      </c>
      <c r="AB164" s="26">
        <v>0</v>
      </c>
      <c r="AC164" s="26">
        <v>0</v>
      </c>
      <c r="AD164" s="26">
        <v>0</v>
      </c>
      <c r="AE164" s="26">
        <v>0</v>
      </c>
      <c r="AF164" s="26">
        <v>0</v>
      </c>
      <c r="AG164" s="26">
        <v>0</v>
      </c>
      <c r="AH164" s="26">
        <v>0</v>
      </c>
      <c r="AI164" s="26">
        <v>0</v>
      </c>
      <c r="AJ164" s="26">
        <v>0</v>
      </c>
      <c r="AK164" s="26">
        <v>0</v>
      </c>
      <c r="AL164" s="34"/>
    </row>
    <row r="165" spans="2:38" x14ac:dyDescent="0.3">
      <c r="B165" s="43" t="s">
        <v>177</v>
      </c>
      <c r="C165" s="6" t="s">
        <v>303</v>
      </c>
      <c r="D165" s="44">
        <f t="shared" si="18"/>
        <v>0</v>
      </c>
      <c r="E165" s="6" t="s">
        <v>57</v>
      </c>
      <c r="F165" s="9">
        <f>Y165+SUMIFS('บันทึกของเข้า-ออก'!$J:$J,'บันทึกของเข้า-ออก'!$B:$B,สรุป!$C165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5" s="9">
        <f>Z165+SUMIFS('บันทึกของเข้า-ออก'!$J:$J,'บันทึกของเข้า-ออก'!$B:$B,สรุป!$C165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5" s="9">
        <f>AA165+SUMIFS('บันทึกของเข้า-ออก'!$J:$J,'บันทึกของเข้า-ออก'!$B:$B,สรุป!$C165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5" s="9">
        <f>AB165+SUMIFS('บันทึกของเข้า-ออก'!$J:$J,'บันทึกของเข้า-ออก'!$B:$B,สรุป!$C165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5" s="9">
        <f>AC165+SUMIFS('บันทึกของเข้า-ออก'!$J:$J,'บันทึกของเข้า-ออก'!$B:$B,สรุป!$C165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5" s="9">
        <f>AD165+SUMIFS('บันทึกของเข้า-ออก'!$J:$J,'บันทึกของเข้า-ออก'!$B:$B,สรุป!$C165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5" s="9">
        <f>AE165+SUMIFS('บันทึกของเข้า-ออก'!$J:$J,'บันทึกของเข้า-ออก'!$B:$B,สรุป!$C165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5" s="9">
        <f>AF165+SUMIFS('บันทึกของเข้า-ออก'!$J:$J,'บันทึกของเข้า-ออก'!$B:$B,สรุป!$C165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5" s="9">
        <f>AG165+SUMIFS('บันทึกของเข้า-ออก'!$J:$J,'บันทึกของเข้า-ออก'!$B:$B,สรุป!$C165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5" s="9">
        <f>AH165+SUMIFS('บันทึกของเข้า-ออก'!$J:$J,'บันทึกของเข้า-ออก'!$B:$B,สรุป!$C165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5" s="9">
        <f>AI165+SUMIFS('บันทึกของเข้า-ออก'!$J:$J,'บันทึกของเข้า-ออก'!$B:$B,สรุป!$C165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5" s="9">
        <f>AJ165+SUMIFS('บันทึกของเข้า-ออก'!$J:$J,'บันทึกของเข้า-ออก'!$B:$B,สรุป!$C165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5" s="9">
        <f>AK165+SUMIFS('บันทึกของเข้า-ออก'!$J:$J,'บันทึกของเข้า-ออก'!$B:$B,สรุป!$C165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5" s="26"/>
      <c r="T165" s="33"/>
      <c r="U165" s="34"/>
      <c r="V165" s="25" t="str">
        <f t="shared" si="17"/>
        <v>ท่อไฟ 3 นิ้ว</v>
      </c>
      <c r="W165" s="81">
        <v>2</v>
      </c>
      <c r="X165" s="35" t="s">
        <v>57</v>
      </c>
      <c r="Y165" s="26">
        <v>0</v>
      </c>
      <c r="Z165" s="26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  <c r="AF165" s="26">
        <v>0</v>
      </c>
      <c r="AG165" s="26">
        <v>0</v>
      </c>
      <c r="AH165" s="26">
        <v>0</v>
      </c>
      <c r="AI165" s="26">
        <v>0</v>
      </c>
      <c r="AJ165" s="26">
        <v>0</v>
      </c>
      <c r="AK165" s="26">
        <v>0</v>
      </c>
      <c r="AL165" s="34"/>
    </row>
    <row r="166" spans="2:38" x14ac:dyDescent="0.3">
      <c r="B166" s="43" t="s">
        <v>177</v>
      </c>
      <c r="C166" s="6" t="s">
        <v>227</v>
      </c>
      <c r="D166" s="44">
        <f t="shared" si="18"/>
        <v>0</v>
      </c>
      <c r="E166" s="6" t="s">
        <v>55</v>
      </c>
      <c r="F166" s="9">
        <f>Y166+SUMIFS('บันทึกของเข้า-ออก'!$J:$J,'บันทึกของเข้า-ออก'!$B:$B,สรุป!$C166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6" s="9">
        <f>Z166+SUMIFS('บันทึกของเข้า-ออก'!$J:$J,'บันทึกของเข้า-ออก'!$B:$B,สรุป!$C166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6" s="9">
        <f>AA166+SUMIFS('บันทึกของเข้า-ออก'!$J:$J,'บันทึกของเข้า-ออก'!$B:$B,สรุป!$C166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6" s="9">
        <f>AB166+SUMIFS('บันทึกของเข้า-ออก'!$J:$J,'บันทึกของเข้า-ออก'!$B:$B,สรุป!$C166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6" s="9">
        <f>AC166+SUMIFS('บันทึกของเข้า-ออก'!$J:$J,'บันทึกของเข้า-ออก'!$B:$B,สรุป!$C166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6" s="9">
        <f>AD166+SUMIFS('บันทึกของเข้า-ออก'!$J:$J,'บันทึกของเข้า-ออก'!$B:$B,สรุป!$C166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6" s="9">
        <f>AE166+SUMIFS('บันทึกของเข้า-ออก'!$J:$J,'บันทึกของเข้า-ออก'!$B:$B,สรุป!$C166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6" s="9">
        <f>AF166+SUMIFS('บันทึกของเข้า-ออก'!$J:$J,'บันทึกของเข้า-ออก'!$B:$B,สรุป!$C166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6" s="9">
        <f>AG166+SUMIFS('บันทึกของเข้า-ออก'!$J:$J,'บันทึกของเข้า-ออก'!$B:$B,สรุป!$C166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6" s="9">
        <f>AH166+SUMIFS('บันทึกของเข้า-ออก'!$J:$J,'บันทึกของเข้า-ออก'!$B:$B,สรุป!$C166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6" s="9">
        <f>AI166+SUMIFS('บันทึกของเข้า-ออก'!$J:$J,'บันทึกของเข้า-ออก'!$B:$B,สรุป!$C166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6" s="9">
        <f>AJ166+SUMIFS('บันทึกของเข้า-ออก'!$J:$J,'บันทึกของเข้า-ออก'!$B:$B,สรุป!$C166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6" s="9">
        <f>AK166+SUMIFS('บันทึกของเข้า-ออก'!$J:$J,'บันทึกของเข้า-ออก'!$B:$B,สรุป!$C166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6" s="26"/>
      <c r="T166" s="33"/>
      <c r="U166" s="34"/>
      <c r="V166" s="25" t="str">
        <f t="shared" si="17"/>
        <v>เหล็ก L-bolt</v>
      </c>
      <c r="W166" s="79">
        <v>7</v>
      </c>
      <c r="X166" s="35" t="s">
        <v>55</v>
      </c>
      <c r="Y166" s="26">
        <v>0</v>
      </c>
      <c r="Z166" s="26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  <c r="AF166" s="26">
        <v>0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34"/>
    </row>
    <row r="167" spans="2:38" x14ac:dyDescent="0.3">
      <c r="B167" s="43" t="s">
        <v>177</v>
      </c>
      <c r="C167" s="6" t="s">
        <v>300</v>
      </c>
      <c r="D167" s="44">
        <f t="shared" si="18"/>
        <v>7</v>
      </c>
      <c r="E167" s="6" t="s">
        <v>301</v>
      </c>
      <c r="F167" s="9">
        <f>Y167+SUMIFS('บันทึกของเข้า-ออก'!$J:$J,'บันทึกของเข้า-ออก'!$B:$B,สรุป!$C167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7" s="9">
        <f>Z167+SUMIFS('บันทึกของเข้า-ออก'!$J:$J,'บันทึกของเข้า-ออก'!$B:$B,สรุป!$C167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7" s="9">
        <v>7</v>
      </c>
      <c r="I167" s="9">
        <f>AB167+SUMIFS('บันทึกของเข้า-ออก'!$J:$J,'บันทึกของเข้า-ออก'!$B:$B,สรุป!$C167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7" s="9">
        <f>AC167+SUMIFS('บันทึกของเข้า-ออก'!$J:$J,'บันทึกของเข้า-ออก'!$B:$B,สรุป!$C167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7" s="9">
        <f>AD167+SUMIFS('บันทึกของเข้า-ออก'!$J:$J,'บันทึกของเข้า-ออก'!$B:$B,สรุป!$C167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7" s="9">
        <f>AE167+SUMIFS('บันทึกของเข้า-ออก'!$J:$J,'บันทึกของเข้า-ออก'!$B:$B,สรุป!$C167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7" s="9">
        <f>AF167+SUMIFS('บันทึกของเข้า-ออก'!$J:$J,'บันทึกของเข้า-ออก'!$B:$B,สรุป!$C167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7" s="9">
        <f>AG167+SUMIFS('บันทึกของเข้า-ออก'!$J:$J,'บันทึกของเข้า-ออก'!$B:$B,สรุป!$C167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7" s="9">
        <f>AH167+SUMIFS('บันทึกของเข้า-ออก'!$J:$J,'บันทึกของเข้า-ออก'!$B:$B,สรุป!$C167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7" s="9">
        <f>AI167+SUMIFS('บันทึกของเข้า-ออก'!$J:$J,'บันทึกของเข้า-ออก'!$B:$B,สรุป!$C167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7" s="9">
        <f>AJ167+SUMIFS('บันทึกของเข้า-ออก'!$J:$J,'บันทึกของเข้า-ออก'!$B:$B,สรุป!$C167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7" s="9">
        <f>AK167+SUMIFS('บันทึกของเข้า-ออก'!$J:$J,'บันทึกของเข้า-ออก'!$B:$B,สรุป!$C167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7" s="26"/>
      <c r="T167" s="33"/>
      <c r="U167" s="34"/>
      <c r="V167" s="25" t="str">
        <f t="shared" si="17"/>
        <v>อิฐมวลเบา 20*60</v>
      </c>
      <c r="W167" s="81">
        <v>130</v>
      </c>
      <c r="X167" s="35" t="s">
        <v>301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34"/>
    </row>
    <row r="168" spans="2:38" x14ac:dyDescent="0.3">
      <c r="B168" s="43" t="s">
        <v>177</v>
      </c>
      <c r="C168" s="6" t="s">
        <v>299</v>
      </c>
      <c r="D168" s="44">
        <f t="shared" si="18"/>
        <v>0</v>
      </c>
      <c r="E168" s="6" t="s">
        <v>55</v>
      </c>
      <c r="F168" s="9">
        <f>Y168+SUMIFS('บันทึกของเข้า-ออก'!$J:$J,'บันทึกของเข้า-ออก'!$B:$B,สรุป!$C168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8" s="9">
        <f>Z168+SUMIFS('บันทึกของเข้า-ออก'!$J:$J,'บันทึกของเข้า-ออก'!$B:$B,สรุป!$C168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8" s="9">
        <f>AA168+SUMIFS('บันทึกของเข้า-ออก'!$J:$J,'บันทึกของเข้า-ออก'!$B:$B,สรุป!$C168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8" s="9">
        <f>AB168+SUMIFS('บันทึกของเข้า-ออก'!$J:$J,'บันทึกของเข้า-ออก'!$B:$B,สรุป!$C168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8" s="9">
        <f>AC168+SUMIFS('บันทึกของเข้า-ออก'!$J:$J,'บันทึกของเข้า-ออก'!$B:$B,สรุป!$C168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8" s="9">
        <f>AD168+SUMIFS('บันทึกของเข้า-ออก'!$J:$J,'บันทึกของเข้า-ออก'!$B:$B,สรุป!$C168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8" s="9">
        <f>AE168+SUMIFS('บันทึกของเข้า-ออก'!$J:$J,'บันทึกของเข้า-ออก'!$B:$B,สรุป!$C168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8" s="9">
        <f>AF168+SUMIFS('บันทึกของเข้า-ออก'!$J:$J,'บันทึกของเข้า-ออก'!$B:$B,สรุป!$C168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8" s="9">
        <f>AG168+SUMIFS('บันทึกของเข้า-ออก'!$J:$J,'บันทึกของเข้า-ออก'!$B:$B,สรุป!$C168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8" s="9">
        <f>AH168+SUMIFS('บันทึกของเข้า-ออก'!$J:$J,'บันทึกของเข้า-ออก'!$B:$B,สรุป!$C168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8" s="9">
        <f>AI168+SUMIFS('บันทึกของเข้า-ออก'!$J:$J,'บันทึกของเข้า-ออก'!$B:$B,สรุป!$C168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8" s="9">
        <f>AJ168+SUMIFS('บันทึกของเข้า-ออก'!$J:$J,'บันทึกของเข้า-ออก'!$B:$B,สรุป!$C168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8" s="9">
        <f>AK168+SUMIFS('บันทึกของเข้า-ออก'!$J:$J,'บันทึกของเข้า-ออก'!$B:$B,สรุป!$C168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8" s="26"/>
      <c r="T168" s="33"/>
      <c r="U168" s="34"/>
      <c r="V168" s="25" t="str">
        <f t="shared" si="17"/>
        <v>สามทาง pvc 4 นิ้ว</v>
      </c>
      <c r="W168" s="81">
        <v>4</v>
      </c>
      <c r="X168" s="35" t="s">
        <v>55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  <c r="AF168" s="26">
        <v>0</v>
      </c>
      <c r="AG168" s="26">
        <v>0</v>
      </c>
      <c r="AH168" s="26">
        <v>0</v>
      </c>
      <c r="AI168" s="26">
        <v>0</v>
      </c>
      <c r="AJ168" s="26">
        <v>0</v>
      </c>
      <c r="AK168" s="26">
        <v>0</v>
      </c>
      <c r="AL168" s="34"/>
    </row>
    <row r="169" spans="2:38" x14ac:dyDescent="0.3">
      <c r="B169" s="43" t="s">
        <v>177</v>
      </c>
      <c r="C169" s="6" t="s">
        <v>307</v>
      </c>
      <c r="D169" s="44">
        <f t="shared" si="18"/>
        <v>0</v>
      </c>
      <c r="E169" s="6" t="s">
        <v>55</v>
      </c>
      <c r="F169" s="9">
        <f>Y169+SUMIFS('บันทึกของเข้า-ออก'!$J:$J,'บันทึกของเข้า-ออก'!$B:$B,สรุป!$C169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69" s="9">
        <f>Z169+SUMIFS('บันทึกของเข้า-ออก'!$J:$J,'บันทึกของเข้า-ออก'!$B:$B,สรุป!$C169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69" s="9">
        <f>AA169+SUMIFS('บันทึกของเข้า-ออก'!$J:$J,'บันทึกของเข้า-ออก'!$B:$B,สรุป!$C169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69" s="9">
        <f>AB169+SUMIFS('บันทึกของเข้า-ออก'!$J:$J,'บันทึกของเข้า-ออก'!$B:$B,สรุป!$C169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69" s="9">
        <f>AC169+SUMIFS('บันทึกของเข้า-ออก'!$J:$J,'บันทึกของเข้า-ออก'!$B:$B,สรุป!$C169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69" s="9">
        <f>AD169+SUMIFS('บันทึกของเข้า-ออก'!$J:$J,'บันทึกของเข้า-ออก'!$B:$B,สรุป!$C169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69" s="9">
        <f>AE169+SUMIFS('บันทึกของเข้า-ออก'!$J:$J,'บันทึกของเข้า-ออก'!$B:$B,สรุป!$C169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69" s="9">
        <f>AF169+SUMIFS('บันทึกของเข้า-ออก'!$J:$J,'บันทึกของเข้า-ออก'!$B:$B,สรุป!$C169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69" s="9">
        <f>AG169+SUMIFS('บันทึกของเข้า-ออก'!$J:$J,'บันทึกของเข้า-ออก'!$B:$B,สรุป!$C169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69" s="9">
        <f>AH169+SUMIFS('บันทึกของเข้า-ออก'!$J:$J,'บันทึกของเข้า-ออก'!$B:$B,สรุป!$C169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69" s="9">
        <f>AI169+SUMIFS('บันทึกของเข้า-ออก'!$J:$J,'บันทึกของเข้า-ออก'!$B:$B,สรุป!$C169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69" s="9">
        <f>AJ169+SUMIFS('บันทึกของเข้า-ออก'!$J:$J,'บันทึกของเข้า-ออก'!$B:$B,สรุป!$C169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69" s="9">
        <f>AK169+SUMIFS('บันทึกของเข้า-ออก'!$J:$J,'บันทึกของเข้า-ออก'!$B:$B,สรุป!$C169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169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69" s="26"/>
      <c r="T169" s="33"/>
      <c r="U169" s="34"/>
      <c r="V169" s="25" t="str">
        <f t="shared" si="17"/>
        <v>เหล็ก H B  20 ซ</v>
      </c>
      <c r="W169" s="81">
        <v>3</v>
      </c>
      <c r="X169" s="35" t="s">
        <v>55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  <c r="AG169" s="26">
        <v>0</v>
      </c>
      <c r="AH169" s="26">
        <v>0</v>
      </c>
      <c r="AI169" s="26">
        <v>0</v>
      </c>
      <c r="AJ169" s="26">
        <v>0</v>
      </c>
      <c r="AK169" s="26">
        <v>0</v>
      </c>
      <c r="AL169" s="34"/>
    </row>
    <row r="170" spans="2:38" x14ac:dyDescent="0.3">
      <c r="B170" s="43" t="s">
        <v>177</v>
      </c>
      <c r="C170" s="6" t="s">
        <v>314</v>
      </c>
      <c r="D170" s="44">
        <f t="shared" si="18"/>
        <v>0</v>
      </c>
      <c r="E170" s="6" t="s">
        <v>59</v>
      </c>
      <c r="F170" s="9">
        <f>Y170+SUMIFS('บันทึกของเข้า-ออก'!$J:$J,'บันทึกของเข้า-ออก'!$B:$B,สรุป!$C170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0" s="9">
        <f>Z170+SUMIFS('บันทึกของเข้า-ออก'!$J:$J,'บันทึกของเข้า-ออก'!$B:$B,สรุป!$C170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0" s="9">
        <f>AA170+SUMIFS('บันทึกของเข้า-ออก'!$J:$J,'บันทึกของเข้า-ออก'!$B:$B,สรุป!$C170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0" s="9">
        <f>AB170+SUMIFS('บันทึกของเข้า-ออก'!$J:$J,'บันทึกของเข้า-ออก'!$B:$B,สรุป!$C170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0" s="9">
        <f>AC170+SUMIFS('บันทึกของเข้า-ออก'!$J:$J,'บันทึกของเข้า-ออก'!$B:$B,สรุป!$C170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0" s="9">
        <f>AD170+SUMIFS('บันทึกของเข้า-ออก'!$J:$J,'บันทึกของเข้า-ออก'!$B:$B,สรุป!$C170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0" s="9">
        <f>AE170+SUMIFS('บันทึกของเข้า-ออก'!$J:$J,'บันทึกของเข้า-ออก'!$B:$B,สรุป!$C170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0" s="9">
        <f>AF170+SUMIFS('บันทึกของเข้า-ออก'!$J:$J,'บันทึกของเข้า-ออก'!$B:$B,สรุป!$C170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0" s="9">
        <f>AG170+SUMIFS('บันทึกของเข้า-ออก'!$J:$J,'บันทึกของเข้า-ออก'!$B:$B,สรุป!$C170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0" s="9">
        <f>AH170+SUMIFS('บันทึกของเข้า-ออก'!$J:$J,'บันทึกของเข้า-ออก'!$B:$B,สรุป!$C170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0" s="9">
        <f>AI170+SUMIFS('บันทึกของเข้า-ออก'!$J:$J,'บันทึกของเข้า-ออก'!$B:$B,สรุป!$C170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0" s="9">
        <f>AJ170+SUMIFS('บันทึกของเข้า-ออก'!$J:$J,'บันทึกของเข้า-ออก'!$B:$B,สรุป!$C170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0" s="9">
        <f>AK170+SUMIFS('บันทึกของเข้า-ออก'!$J:$J,'บันทึกของเข้า-ออก'!$B:$B,สรุป!$C170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0" s="26"/>
      <c r="T170" s="33"/>
      <c r="U170" s="34"/>
      <c r="V170" s="25" t="str">
        <f t="shared" si="17"/>
        <v>คลอบโค้ง 3 ม</v>
      </c>
      <c r="W170" s="81">
        <v>6</v>
      </c>
      <c r="X170" s="35" t="s">
        <v>59</v>
      </c>
      <c r="Y170" s="26">
        <v>0</v>
      </c>
      <c r="Z170" s="26">
        <v>0</v>
      </c>
      <c r="AA170" s="26">
        <v>0</v>
      </c>
      <c r="AB170" s="26">
        <v>0</v>
      </c>
      <c r="AC170" s="26">
        <v>0</v>
      </c>
      <c r="AD170" s="26">
        <v>0</v>
      </c>
      <c r="AE170" s="26">
        <v>0</v>
      </c>
      <c r="AF170" s="26">
        <v>0</v>
      </c>
      <c r="AG170" s="26">
        <v>0</v>
      </c>
      <c r="AH170" s="26">
        <v>0</v>
      </c>
      <c r="AI170" s="26">
        <v>0</v>
      </c>
      <c r="AJ170" s="26">
        <v>0</v>
      </c>
      <c r="AK170" s="26">
        <v>0</v>
      </c>
      <c r="AL170" s="34"/>
    </row>
    <row r="171" spans="2:38" x14ac:dyDescent="0.3">
      <c r="B171" s="43" t="s">
        <v>177</v>
      </c>
      <c r="C171" s="6" t="s">
        <v>313</v>
      </c>
      <c r="D171" s="44">
        <f t="shared" si="18"/>
        <v>0</v>
      </c>
      <c r="E171" s="6" t="s">
        <v>59</v>
      </c>
      <c r="F171" s="9">
        <f>Y171+SUMIFS('บันทึกของเข้า-ออก'!$J:$J,'บันทึกของเข้า-ออก'!$B:$B,สรุป!$C171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1" s="9">
        <f>Z171+SUMIFS('บันทึกของเข้า-ออก'!$J:$J,'บันทึกของเข้า-ออก'!$B:$B,สรุป!$C171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1" s="9">
        <f>AA171+SUMIFS('บันทึกของเข้า-ออก'!$J:$J,'บันทึกของเข้า-ออก'!$B:$B,สรุป!$C171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1" s="9">
        <f>AB171+SUMIFS('บันทึกของเข้า-ออก'!$J:$J,'บันทึกของเข้า-ออก'!$B:$B,สรุป!$C171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1" s="9">
        <f>AC171+SUMIFS('บันทึกของเข้า-ออก'!$J:$J,'บันทึกของเข้า-ออก'!$B:$B,สรุป!$C171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1" s="9">
        <f>AD171+SUMIFS('บันทึกของเข้า-ออก'!$J:$J,'บันทึกของเข้า-ออก'!$B:$B,สรุป!$C171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1" s="9">
        <f>AE171+SUMIFS('บันทึกของเข้า-ออก'!$J:$J,'บันทึกของเข้า-ออก'!$B:$B,สรุป!$C171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1" s="9">
        <f>AF171+SUMIFS('บันทึกของเข้า-ออก'!$J:$J,'บันทึกของเข้า-ออก'!$B:$B,สรุป!$C171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1" s="9">
        <f>AG171+SUMIFS('บันทึกของเข้า-ออก'!$J:$J,'บันทึกของเข้า-ออก'!$B:$B,สรุป!$C171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1" s="9">
        <f>AH171+SUMIFS('บันทึกของเข้า-ออก'!$J:$J,'บันทึกของเข้า-ออก'!$B:$B,สรุป!$C171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1" s="9">
        <f>AI171+SUMIFS('บันทึกของเข้า-ออก'!$J:$J,'บันทึกของเข้า-ออก'!$B:$B,สรุป!$C171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1" s="9">
        <f>AJ171+SUMIFS('บันทึกของเข้า-ออก'!$J:$J,'บันทึกของเข้า-ออก'!$B:$B,สรุป!$C171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1" s="9">
        <f>AK171+SUMIFS('บันทึกของเข้า-ออก'!$J:$J,'บันทึกของเข้า-ออก'!$B:$B,สรุป!$C171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1" s="26"/>
      <c r="T171" s="33"/>
      <c r="U171" s="34"/>
      <c r="V171" s="25" t="str">
        <f t="shared" si="17"/>
        <v>แผ่นใส 1.5 ม</v>
      </c>
      <c r="W171" s="81">
        <v>2</v>
      </c>
      <c r="X171" s="35" t="s">
        <v>59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34"/>
    </row>
    <row r="172" spans="2:38" x14ac:dyDescent="0.3">
      <c r="B172" s="43" t="s">
        <v>177</v>
      </c>
      <c r="C172" s="6" t="s">
        <v>312</v>
      </c>
      <c r="D172" s="44">
        <f t="shared" si="18"/>
        <v>0</v>
      </c>
      <c r="E172" s="6" t="s">
        <v>59</v>
      </c>
      <c r="F172" s="9">
        <f>Y172+SUMIFS('บันทึกของเข้า-ออก'!$J:$J,'บันทึกของเข้า-ออก'!$B:$B,สรุป!$C172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2" s="9">
        <f>Z172+SUMIFS('บันทึกของเข้า-ออก'!$J:$J,'บันทึกของเข้า-ออก'!$B:$B,สรุป!$C172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2" s="9">
        <f>AA172+SUMIFS('บันทึกของเข้า-ออก'!$J:$J,'บันทึกของเข้า-ออก'!$B:$B,สรุป!$C172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2" s="9">
        <f>AB172+SUMIFS('บันทึกของเข้า-ออก'!$J:$J,'บันทึกของเข้า-ออก'!$B:$B,สรุป!$C172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2" s="9">
        <f>AC172+SUMIFS('บันทึกของเข้า-ออก'!$J:$J,'บันทึกของเข้า-ออก'!$B:$B,สรุป!$C172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2" s="9">
        <f>AD172+SUMIFS('บันทึกของเข้า-ออก'!$J:$J,'บันทึกของเข้า-ออก'!$B:$B,สรุป!$C172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2" s="9">
        <f>AE172+SUMIFS('บันทึกของเข้า-ออก'!$J:$J,'บันทึกของเข้า-ออก'!$B:$B,สรุป!$C172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2" s="9">
        <f>AF172+SUMIFS('บันทึกของเข้า-ออก'!$J:$J,'บันทึกของเข้า-ออก'!$B:$B,สรุป!$C172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2" s="9">
        <f>AG172+SUMIFS('บันทึกของเข้า-ออก'!$J:$J,'บันทึกของเข้า-ออก'!$B:$B,สรุป!$C172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2" s="9">
        <f>AH172+SUMIFS('บันทึกของเข้า-ออก'!$J:$J,'บันทึกของเข้า-ออก'!$B:$B,สรุป!$C172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2" s="9">
        <f>AI172+SUMIFS('บันทึกของเข้า-ออก'!$J:$J,'บันทึกของเข้า-ออก'!$B:$B,สรุป!$C172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2" s="9">
        <f>AJ172+SUMIFS('บันทึกของเข้า-ออก'!$J:$J,'บันทึกของเข้า-ออก'!$B:$B,สรุป!$C172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2" s="9">
        <f>AK172+SUMIFS('บันทึกของเข้า-ออก'!$J:$J,'บันทึกของเข้า-ออก'!$B:$B,สรุป!$C172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2" s="26"/>
      <c r="T172" s="33"/>
      <c r="U172" s="34"/>
      <c r="V172" s="25" t="str">
        <f t="shared" si="17"/>
        <v>คลอบประตู</v>
      </c>
      <c r="W172" s="81">
        <v>4</v>
      </c>
      <c r="X172" s="35" t="s">
        <v>59</v>
      </c>
      <c r="Y172" s="26">
        <v>0</v>
      </c>
      <c r="Z172" s="26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  <c r="AG172" s="26">
        <v>0</v>
      </c>
      <c r="AH172" s="26">
        <v>0</v>
      </c>
      <c r="AI172" s="26">
        <v>0</v>
      </c>
      <c r="AJ172" s="26">
        <v>0</v>
      </c>
      <c r="AK172" s="26">
        <v>0</v>
      </c>
      <c r="AL172" s="34"/>
    </row>
    <row r="173" spans="2:38" x14ac:dyDescent="0.3">
      <c r="B173" s="43" t="s">
        <v>177</v>
      </c>
      <c r="C173" s="6" t="s">
        <v>306</v>
      </c>
      <c r="D173" s="44">
        <f t="shared" si="18"/>
        <v>0</v>
      </c>
      <c r="E173" s="6" t="s">
        <v>55</v>
      </c>
      <c r="F173" s="9">
        <f>Y173+SUMIFS('บันทึกของเข้า-ออก'!$J:$J,'บันทึกของเข้า-ออก'!$B:$B,สรุป!$C173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3" s="9">
        <f>Z173+SUMIFS('บันทึกของเข้า-ออก'!$J:$J,'บันทึกของเข้า-ออก'!$B:$B,สรุป!$C173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3" s="9">
        <f>AA173+SUMIFS('บันทึกของเข้า-ออก'!$J:$J,'บันทึกของเข้า-ออก'!$B:$B,สรุป!$C173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3" s="9">
        <f>AB173+SUMIFS('บันทึกของเข้า-ออก'!$J:$J,'บันทึกของเข้า-ออก'!$B:$B,สรุป!$C173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3" s="9">
        <f>AC173+SUMIFS('บันทึกของเข้า-ออก'!$J:$J,'บันทึกของเข้า-ออก'!$B:$B,สรุป!$C173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3" s="9">
        <f>AD173+SUMIFS('บันทึกของเข้า-ออก'!$J:$J,'บันทึกของเข้า-ออก'!$B:$B,สรุป!$C173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3" s="9">
        <f>AE173+SUMIFS('บันทึกของเข้า-ออก'!$J:$J,'บันทึกของเข้า-ออก'!$B:$B,สรุป!$C173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3" s="9">
        <f>AF173+SUMIFS('บันทึกของเข้า-ออก'!$J:$J,'บันทึกของเข้า-ออก'!$B:$B,สรุป!$C173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3" s="9">
        <f>AG173+SUMIFS('บันทึกของเข้า-ออก'!$J:$J,'บันทึกของเข้า-ออก'!$B:$B,สรุป!$C173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3" s="9">
        <f>AH173+SUMIFS('บันทึกของเข้า-ออก'!$J:$J,'บันทึกของเข้า-ออก'!$B:$B,สรุป!$C173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3" s="9">
        <f>AI173+SUMIFS('บันทึกของเข้า-ออก'!$J:$J,'บันทึกของเข้า-ออก'!$B:$B,สรุป!$C173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3" s="9">
        <f>AJ173+SUMIFS('บันทึกของเข้า-ออก'!$J:$J,'บันทึกของเข้า-ออก'!$B:$B,สรุป!$C173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3" s="9">
        <f>AK173+SUMIFS('บันทึกของเข้า-ออก'!$J:$J,'บันทึกของเข้า-ออก'!$B:$B,สรุป!$C173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3" s="26"/>
      <c r="T173" s="33"/>
      <c r="U173" s="34"/>
      <c r="V173" s="25" t="str">
        <f t="shared" si="17"/>
        <v>ท่อ pvc 6 นิ้ว</v>
      </c>
      <c r="W173" s="81">
        <v>2</v>
      </c>
      <c r="X173" s="35" t="s">
        <v>55</v>
      </c>
      <c r="Y173" s="26">
        <v>0</v>
      </c>
      <c r="Z173" s="26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  <c r="AG173" s="26">
        <v>0</v>
      </c>
      <c r="AH173" s="26">
        <v>0</v>
      </c>
      <c r="AI173" s="26">
        <v>0</v>
      </c>
      <c r="AJ173" s="26">
        <v>0</v>
      </c>
      <c r="AK173" s="26">
        <v>0</v>
      </c>
      <c r="AL173" s="34"/>
    </row>
    <row r="174" spans="2:38" x14ac:dyDescent="0.3">
      <c r="B174" s="43" t="s">
        <v>177</v>
      </c>
      <c r="C174" s="6" t="s">
        <v>308</v>
      </c>
      <c r="D174" s="44">
        <f t="shared" si="18"/>
        <v>0</v>
      </c>
      <c r="E174" s="6" t="s">
        <v>55</v>
      </c>
      <c r="F174" s="9">
        <f>Y174+SUMIFS('บันทึกของเข้า-ออก'!$J:$J,'บันทึกของเข้า-ออก'!$B:$B,สรุป!$C174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4" s="9">
        <f>Z174+SUMIFS('บันทึกของเข้า-ออก'!$J:$J,'บันทึกของเข้า-ออก'!$B:$B,สรุป!$C174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4" s="9">
        <f>AA174+SUMIFS('บันทึกของเข้า-ออก'!$J:$J,'บันทึกของเข้า-ออก'!$B:$B,สรุป!$C174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4" s="9">
        <f>AB174+SUMIFS('บันทึกของเข้า-ออก'!$J:$J,'บันทึกของเข้า-ออก'!$B:$B,สรุป!$C174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4" s="9">
        <f>AC174+SUMIFS('บันทึกของเข้า-ออก'!$J:$J,'บันทึกของเข้า-ออก'!$B:$B,สรุป!$C174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4" s="9">
        <f>AD174+SUMIFS('บันทึกของเข้า-ออก'!$J:$J,'บันทึกของเข้า-ออก'!$B:$B,สรุป!$C174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4" s="9">
        <f>AE174+SUMIFS('บันทึกของเข้า-ออก'!$J:$J,'บันทึกของเข้า-ออก'!$B:$B,สรุป!$C174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4" s="9">
        <f>AF174+SUMIFS('บันทึกของเข้า-ออก'!$J:$J,'บันทึกของเข้า-ออก'!$B:$B,สรุป!$C174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4" s="9">
        <f>AG174+SUMIFS('บันทึกของเข้า-ออก'!$J:$J,'บันทึกของเข้า-ออก'!$B:$B,สรุป!$C174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4" s="9">
        <f>AH174+SUMIFS('บันทึกของเข้า-ออก'!$J:$J,'บันทึกของเข้า-ออก'!$B:$B,สรุป!$C174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4" s="9">
        <f>AI174+SUMIFS('บันทึกของเข้า-ออก'!$J:$J,'บันทึกของเข้า-ออก'!$B:$B,สรุป!$C174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4" s="9">
        <f>AJ174+SUMIFS('บันทึกของเข้า-ออก'!$J:$J,'บันทึกของเข้า-ออก'!$B:$B,สรุป!$C174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4" s="9">
        <f>AK174+SUMIFS('บันทึกของเข้า-ออก'!$J:$J,'บันทึกของเข้า-ออก'!$B:$B,สรุป!$C174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4" s="26"/>
      <c r="T174" s="33"/>
      <c r="U174" s="34"/>
      <c r="V174" s="25" t="str">
        <f t="shared" si="17"/>
        <v>ซีรางน้ำ</v>
      </c>
      <c r="W174" s="81">
        <v>10</v>
      </c>
      <c r="X174" s="35" t="s">
        <v>55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0</v>
      </c>
      <c r="AG174" s="26">
        <v>0</v>
      </c>
      <c r="AH174" s="26">
        <v>0</v>
      </c>
      <c r="AI174" s="26">
        <v>0</v>
      </c>
      <c r="AJ174" s="26">
        <v>0</v>
      </c>
      <c r="AK174" s="26">
        <v>0</v>
      </c>
      <c r="AL174" s="34"/>
    </row>
    <row r="175" spans="2:38" x14ac:dyDescent="0.3">
      <c r="B175" s="43" t="s">
        <v>177</v>
      </c>
      <c r="C175" s="6" t="s">
        <v>315</v>
      </c>
      <c r="D175" s="44">
        <f t="shared" si="18"/>
        <v>0</v>
      </c>
      <c r="E175" s="6" t="s">
        <v>55</v>
      </c>
      <c r="F175" s="9">
        <f>Y175+SUMIFS('บันทึกของเข้า-ออก'!$J:$J,'บันทึกของเข้า-ออก'!$B:$B,สรุป!$C175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5" s="9">
        <f>Z175+SUMIFS('บันทึกของเข้า-ออก'!$J:$J,'บันทึกของเข้า-ออก'!$B:$B,สรุป!$C175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5" s="9">
        <f>AA175+SUMIFS('บันทึกของเข้า-ออก'!$J:$J,'บันทึกของเข้า-ออก'!$B:$B,สรุป!$C175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5" s="9">
        <f>AB175+SUMIFS('บันทึกของเข้า-ออก'!$J:$J,'บันทึกของเข้า-ออก'!$B:$B,สรุป!$C175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5" s="9">
        <f>AC175+SUMIFS('บันทึกของเข้า-ออก'!$J:$J,'บันทึกของเข้า-ออก'!$B:$B,สรุป!$C175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5" s="9">
        <f>AD175+SUMIFS('บันทึกของเข้า-ออก'!$J:$J,'บันทึกของเข้า-ออก'!$B:$B,สรุป!$C175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5" s="9">
        <f>AE175+SUMIFS('บันทึกของเข้า-ออก'!$J:$J,'บันทึกของเข้า-ออก'!$B:$B,สรุป!$C175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5" s="9">
        <f>AF175+SUMIFS('บันทึกของเข้า-ออก'!$J:$J,'บันทึกของเข้า-ออก'!$B:$B,สรุป!$C175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5" s="9">
        <f>AG175+SUMIFS('บันทึกของเข้า-ออก'!$J:$J,'บันทึกของเข้า-ออก'!$B:$B,สรุป!$C175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5" s="9">
        <f>AH175+SUMIFS('บันทึกของเข้า-ออก'!$J:$J,'บันทึกของเข้า-ออก'!$B:$B,สรุป!$C175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5" s="9">
        <f>AI175+SUMIFS('บันทึกของเข้า-ออก'!$J:$J,'บันทึกของเข้า-ออก'!$B:$B,สรุป!$C175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5" s="9">
        <f>AJ175+SUMIFS('บันทึกของเข้า-ออก'!$J:$J,'บันทึกของเข้า-ออก'!$B:$B,สรุป!$C175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5" s="9">
        <f>AK175+SUMIFS('บันทึกของเข้า-ออก'!$J:$J,'บันทึกของเข้า-ออก'!$B:$B,สรุป!$C175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5" s="26"/>
      <c r="T175" s="33"/>
      <c r="U175" s="34"/>
      <c r="V175" s="25" t="str">
        <f t="shared" si="17"/>
        <v>ต่อตรง pvc 3 นิ้ว</v>
      </c>
      <c r="W175" s="81">
        <v>4</v>
      </c>
      <c r="X175" s="35" t="s">
        <v>55</v>
      </c>
      <c r="Y175" s="26">
        <v>0</v>
      </c>
      <c r="Z175" s="26">
        <v>0</v>
      </c>
      <c r="AA175" s="26">
        <v>0</v>
      </c>
      <c r="AB175" s="26">
        <v>0</v>
      </c>
      <c r="AC175" s="26">
        <v>0</v>
      </c>
      <c r="AD175" s="26">
        <v>0</v>
      </c>
      <c r="AE175" s="26">
        <v>0</v>
      </c>
      <c r="AF175" s="26">
        <v>0</v>
      </c>
      <c r="AG175" s="26">
        <v>0</v>
      </c>
      <c r="AH175" s="26">
        <v>0</v>
      </c>
      <c r="AI175" s="26">
        <v>0</v>
      </c>
      <c r="AJ175" s="26">
        <v>0</v>
      </c>
      <c r="AK175" s="26">
        <v>0</v>
      </c>
      <c r="AL175" s="34"/>
    </row>
    <row r="176" spans="2:38" x14ac:dyDescent="0.3">
      <c r="B176" s="43" t="s">
        <v>177</v>
      </c>
      <c r="C176" s="6" t="s">
        <v>298</v>
      </c>
      <c r="D176" s="44">
        <f t="shared" si="18"/>
        <v>0</v>
      </c>
      <c r="E176" s="6" t="s">
        <v>55</v>
      </c>
      <c r="F176" s="9">
        <f>Y176+SUMIFS('บันทึกของเข้า-ออก'!$J:$J,'บันทึกของเข้า-ออก'!$B:$B,สรุป!$C176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6" s="9">
        <f>Z176+SUMIFS('บันทึกของเข้า-ออก'!$J:$J,'บันทึกของเข้า-ออก'!$B:$B,สรุป!$C176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6" s="9">
        <f>AA176+SUMIFS('บันทึกของเข้า-ออก'!$J:$J,'บันทึกของเข้า-ออก'!$B:$B,สรุป!$C176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6" s="9">
        <f>AB176+SUMIFS('บันทึกของเข้า-ออก'!$J:$J,'บันทึกของเข้า-ออก'!$B:$B,สรุป!$C176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6" s="9">
        <f>AC176+SUMIFS('บันทึกของเข้า-ออก'!$J:$J,'บันทึกของเข้า-ออก'!$B:$B,สรุป!$C176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6" s="9">
        <f>AD176+SUMIFS('บันทึกของเข้า-ออก'!$J:$J,'บันทึกของเข้า-ออก'!$B:$B,สรุป!$C176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6" s="9">
        <f>AE176+SUMIFS('บันทึกของเข้า-ออก'!$J:$J,'บันทึกของเข้า-ออก'!$B:$B,สรุป!$C176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6" s="9">
        <f>AF176+SUMIFS('บันทึกของเข้า-ออก'!$J:$J,'บันทึกของเข้า-ออก'!$B:$B,สรุป!$C176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6" s="9">
        <f>AG176+SUMIFS('บันทึกของเข้า-ออก'!$J:$J,'บันทึกของเข้า-ออก'!$B:$B,สรุป!$C176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6" s="9">
        <f>AH176+SUMIFS('บันทึกของเข้า-ออก'!$J:$J,'บันทึกของเข้า-ออก'!$B:$B,สรุป!$C176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6" s="9">
        <f>AI176+SUMIFS('บันทึกของเข้า-ออก'!$J:$J,'บันทึกของเข้า-ออก'!$B:$B,สรุป!$C176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6" s="9">
        <f>AJ176+SUMIFS('บันทึกของเข้า-ออก'!$J:$J,'บันทึกของเข้า-ออก'!$B:$B,สรุป!$C176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6" s="9">
        <f>AK176+SUMIFS('บันทึกของเข้า-ออก'!$J:$J,'บันทึกของเข้า-ออก'!$B:$B,สรุป!$C176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6" s="26"/>
      <c r="T176" s="33"/>
      <c r="U176" s="34"/>
      <c r="V176" s="25" t="str">
        <f t="shared" si="17"/>
        <v>ข้องอ Pvc 90 4 นิ้ว</v>
      </c>
      <c r="W176" s="81">
        <v>8</v>
      </c>
      <c r="X176" s="35" t="s">
        <v>55</v>
      </c>
      <c r="Y176" s="26">
        <v>0</v>
      </c>
      <c r="Z176" s="26">
        <v>0</v>
      </c>
      <c r="AA176" s="26">
        <v>0</v>
      </c>
      <c r="AB176" s="26">
        <v>0</v>
      </c>
      <c r="AC176" s="26">
        <v>0</v>
      </c>
      <c r="AD176" s="26">
        <v>0</v>
      </c>
      <c r="AE176" s="26">
        <v>0</v>
      </c>
      <c r="AF176" s="26">
        <v>0</v>
      </c>
      <c r="AG176" s="26">
        <v>0</v>
      </c>
      <c r="AH176" s="26">
        <v>0</v>
      </c>
      <c r="AI176" s="26">
        <v>0</v>
      </c>
      <c r="AJ176" s="26">
        <v>0</v>
      </c>
      <c r="AK176" s="26">
        <v>0</v>
      </c>
      <c r="AL176" s="34"/>
    </row>
    <row r="177" spans="1:38" x14ac:dyDescent="0.3">
      <c r="B177" s="43" t="s">
        <v>177</v>
      </c>
      <c r="C177" s="6" t="s">
        <v>272</v>
      </c>
      <c r="D177" s="44">
        <f t="shared" si="18"/>
        <v>0</v>
      </c>
      <c r="E177" s="6" t="s">
        <v>59</v>
      </c>
      <c r="F177" s="9">
        <f>Y177+SUMIFS('บันทึกของเข้า-ออก'!$J:$J,'บันทึกของเข้า-ออก'!$B:$B,สรุป!$C177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7" s="9">
        <f>Z177+SUMIFS('บันทึกของเข้า-ออก'!$J:$J,'บันทึกของเข้า-ออก'!$B:$B,สรุป!$C177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7" s="9">
        <f>AA177+SUMIFS('บันทึกของเข้า-ออก'!$J:$J,'บันทึกของเข้า-ออก'!$B:$B,สรุป!$C177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7" s="9">
        <f>AB177+SUMIFS('บันทึกของเข้า-ออก'!$J:$J,'บันทึกของเข้า-ออก'!$B:$B,สรุป!$C177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7" s="9">
        <f>AC177+SUMIFS('บันทึกของเข้า-ออก'!$J:$J,'บันทึกของเข้า-ออก'!$B:$B,สรุป!$C177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7" s="9">
        <f>AD177+SUMIFS('บันทึกของเข้า-ออก'!$J:$J,'บันทึกของเข้า-ออก'!$B:$B,สรุป!$C177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7" s="9">
        <f>AE177+SUMIFS('บันทึกของเข้า-ออก'!$J:$J,'บันทึกของเข้า-ออก'!$B:$B,สรุป!$C177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7" s="9">
        <f>AF177+SUMIFS('บันทึกของเข้า-ออก'!$J:$J,'บันทึกของเข้า-ออก'!$B:$B,สรุป!$C177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7" s="9">
        <f>AG177+SUMIFS('บันทึกของเข้า-ออก'!$J:$J,'บันทึกของเข้า-ออก'!$B:$B,สรุป!$C177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7" s="9">
        <f>AH177+SUMIFS('บันทึกของเข้า-ออก'!$J:$J,'บันทึกของเข้า-ออก'!$B:$B,สรุป!$C177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7" s="9">
        <f>AI177+SUMIFS('บันทึกของเข้า-ออก'!$J:$J,'บันทึกของเข้า-ออก'!$B:$B,สรุป!$C177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7" s="9">
        <f>AJ177+SUMIFS('บันทึกของเข้า-ออก'!$J:$J,'บันทึกของเข้า-ออก'!$B:$B,สรุป!$C177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7" s="9">
        <f>AK177+SUMIFS('บันทึกของเข้า-ออก'!$J:$J,'บันทึกของเข้า-ออก'!$B:$B,สรุป!$C177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7" s="26"/>
      <c r="T177" s="33"/>
      <c r="U177" s="34"/>
      <c r="V177" s="25" t="str">
        <f t="shared" si="17"/>
        <v>แผ่นสังกะสี</v>
      </c>
      <c r="W177" s="81">
        <v>0</v>
      </c>
      <c r="X177" s="35" t="s">
        <v>59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  <c r="AD177" s="26">
        <v>0</v>
      </c>
      <c r="AE177" s="26">
        <v>0</v>
      </c>
      <c r="AF177" s="26">
        <v>0</v>
      </c>
      <c r="AG177" s="26">
        <v>0</v>
      </c>
      <c r="AH177" s="26">
        <v>0</v>
      </c>
      <c r="AI177" s="26">
        <v>0</v>
      </c>
      <c r="AJ177" s="26">
        <v>0</v>
      </c>
      <c r="AK177" s="26">
        <v>0</v>
      </c>
      <c r="AL177" s="34"/>
    </row>
    <row r="178" spans="1:38" x14ac:dyDescent="0.3">
      <c r="B178" s="43" t="s">
        <v>177</v>
      </c>
      <c r="C178" s="6" t="s">
        <v>228</v>
      </c>
      <c r="D178" s="44">
        <f t="shared" si="18"/>
        <v>200</v>
      </c>
      <c r="E178" s="6" t="s">
        <v>57</v>
      </c>
      <c r="F178" s="9">
        <f>Y178+SUMIFS('บันทึกของเข้า-ออก'!$J:$J,'บันทึกของเข้า-ออก'!$B:$B,สรุป!$C178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8" s="9">
        <f>Z178+SUMIFS('บันทึกของเข้า-ออก'!$J:$J,'บันทึกของเข้า-ออก'!$B:$B,สรุป!$C178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8" s="9">
        <f>AA178+SUMIFS('บันทึกของเข้า-ออก'!$J:$J,'บันทึกของเข้า-ออก'!$B:$B,สรุป!$C178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8" s="9">
        <f>AB178+SUMIFS('บันทึกของเข้า-ออก'!$J:$J,'บันทึกของเข้า-ออก'!$B:$B,สรุป!$C178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8" s="9">
        <f>AC178+SUMIFS('บันทึกของเข้า-ออก'!$J:$J,'บันทึกของเข้า-ออก'!$B:$B,สรุป!$C178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8" s="9">
        <f>AD178+SUMIFS('บันทึกของเข้า-ออก'!$J:$J,'บันทึกของเข้า-ออก'!$B:$B,สรุป!$C178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8" s="9">
        <f>AE178+SUMIFS('บันทึกของเข้า-ออก'!$J:$J,'บันทึกของเข้า-ออก'!$B:$B,สรุป!$C178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8" s="9"/>
      <c r="N178" s="9">
        <f>AG178+SUMIFS('บันทึกของเข้า-ออก'!$J:$J,'บันทึกของเข้า-ออก'!$B:$B,สรุป!$C178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8" s="9">
        <f>AH178+SUMIFS('บันทึกของเข้า-ออก'!$J:$J,'บันทึกของเข้า-ออก'!$B:$B,สรุป!$C178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O$5,'บันทึกของเข้า-ออก'!$D:$D,"&gt;="&amp;สรุป!$F$2,'บันทึกของเข้า-ออก'!$D:$D,"&lt;="&amp;สรุป!$G$2)</f>
        <v>200</v>
      </c>
      <c r="P178" s="9">
        <f>AI178+SUMIFS('บันทึกของเข้า-ออก'!$J:$J,'บันทึกของเข้า-ออก'!$B:$B,สรุป!$C178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8" s="9">
        <f>AJ178+SUMIFS('บันทึกของเข้า-ออก'!$J:$J,'บันทึกของเข้า-ออก'!$B:$B,สรุป!$C178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8" s="9">
        <f>AK178+SUMIFS('บันทึกของเข้า-ออก'!$J:$J,'บันทึกของเข้า-ออก'!$B:$B,สรุป!$C178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8" s="26"/>
      <c r="T178" s="33"/>
      <c r="U178" s="34"/>
      <c r="V178" s="25" t="str">
        <f t="shared" si="17"/>
        <v>เซี๊ยม pvc  7 มม ยาว 2 ม.</v>
      </c>
      <c r="W178" s="81">
        <v>200</v>
      </c>
      <c r="X178" s="35" t="s">
        <v>57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0</v>
      </c>
      <c r="AH178" s="26">
        <v>0</v>
      </c>
      <c r="AI178" s="26">
        <v>0</v>
      </c>
      <c r="AJ178" s="26">
        <v>0</v>
      </c>
      <c r="AK178" s="26">
        <v>0</v>
      </c>
      <c r="AL178" s="34"/>
    </row>
    <row r="179" spans="1:38" x14ac:dyDescent="0.3">
      <c r="B179" s="43" t="s">
        <v>177</v>
      </c>
      <c r="C179" s="6" t="s">
        <v>260</v>
      </c>
      <c r="D179" s="44">
        <f t="shared" si="18"/>
        <v>0</v>
      </c>
      <c r="E179" s="6" t="s">
        <v>80</v>
      </c>
      <c r="F179" s="9">
        <f>Y179+SUMIFS('บันทึกของเข้า-ออก'!$J:$J,'บันทึกของเข้า-ออก'!$B:$B,สรุป!$C179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79" s="9">
        <f>Z179+SUMIFS('บันทึกของเข้า-ออก'!$J:$J,'บันทึกของเข้า-ออก'!$B:$B,สรุป!$C179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79" s="9">
        <f>AA179+SUMIFS('บันทึกของเข้า-ออก'!$J:$J,'บันทึกของเข้า-ออก'!$B:$B,สรุป!$C179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79" s="9">
        <f>AB179+SUMIFS('บันทึกของเข้า-ออก'!$J:$J,'บันทึกของเข้า-ออก'!$B:$B,สรุป!$C179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79" s="9">
        <f>AC179+SUMIFS('บันทึกของเข้า-ออก'!$J:$J,'บันทึกของเข้า-ออก'!$B:$B,สรุป!$C179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79" s="9">
        <f>AD179+SUMIFS('บันทึกของเข้า-ออก'!$J:$J,'บันทึกของเข้า-ออก'!$B:$B,สรุป!$C179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79" s="9">
        <f>AE179+SUMIFS('บันทึกของเข้า-ออก'!$J:$J,'บันทึกของเข้า-ออก'!$B:$B,สรุป!$C179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79" s="9">
        <f>AF179+SUMIFS('บันทึกของเข้า-ออก'!$J:$J,'บันทึกของเข้า-ออก'!$B:$B,สรุป!$C179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79" s="9">
        <f>AG179+SUMIFS('บันทึกของเข้า-ออก'!$J:$J,'บันทึกของเข้า-ออก'!$B:$B,สรุป!$C179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79" s="9">
        <f>AH179+SUMIFS('บันทึกของเข้า-ออก'!$J:$J,'บันทึกของเข้า-ออก'!$B:$B,สรุป!$C179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79" s="9">
        <f>AI179+SUMIFS('บันทึกของเข้า-ออก'!$J:$J,'บันทึกของเข้า-ออก'!$B:$B,สรุป!$C179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79" s="9">
        <f>AJ179+SUMIFS('บันทึกของเข้า-ออก'!$J:$J,'บันทึกของเข้า-ออก'!$B:$B,สรุป!$C179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79" s="9">
        <f>AK179+SUMIFS('บันทึกของเข้า-ออก'!$J:$J,'บันทึกของเข้า-ออก'!$B:$B,สรุป!$C179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179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79" s="26"/>
      <c r="T179" s="33"/>
      <c r="U179" s="34"/>
      <c r="V179" s="25" t="str">
        <f t="shared" si="17"/>
        <v>ลวดผูกเหล็ก</v>
      </c>
      <c r="W179" s="81">
        <v>0</v>
      </c>
      <c r="X179" s="35" t="s">
        <v>80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0</v>
      </c>
      <c r="AH179" s="26">
        <v>0</v>
      </c>
      <c r="AI179" s="26">
        <v>0</v>
      </c>
      <c r="AJ179" s="26">
        <v>0</v>
      </c>
      <c r="AK179" s="26">
        <v>0</v>
      </c>
      <c r="AL179" s="34"/>
    </row>
    <row r="180" spans="1:38" x14ac:dyDescent="0.3">
      <c r="B180" s="43" t="s">
        <v>177</v>
      </c>
      <c r="C180" s="6" t="s">
        <v>142</v>
      </c>
      <c r="D180" s="44">
        <f t="shared" si="18"/>
        <v>0</v>
      </c>
      <c r="E180" s="6" t="s">
        <v>80</v>
      </c>
      <c r="F180" s="9">
        <f>Y180+SUMIFS('บันทึกของเข้า-ออก'!$J:$J,'บันทึกของเข้า-ออก'!$B:$B,สรุป!$C180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0" s="9">
        <f>Z180+SUMIFS('บันทึกของเข้า-ออก'!$J:$J,'บันทึกของเข้า-ออก'!$B:$B,สรุป!$C180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0" s="9">
        <f>AA180+SUMIFS('บันทึกของเข้า-ออก'!$J:$J,'บันทึกของเข้า-ออก'!$B:$B,สรุป!$C180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0" s="9">
        <f>AB180+SUMIFS('บันทึกของเข้า-ออก'!$J:$J,'บันทึกของเข้า-ออก'!$B:$B,สรุป!$C180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0" s="9">
        <f>AC180+SUMIFS('บันทึกของเข้า-ออก'!$J:$J,'บันทึกของเข้า-ออก'!$B:$B,สรุป!$C180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0" s="9">
        <f>AD180+SUMIFS('บันทึกของเข้า-ออก'!$J:$J,'บันทึกของเข้า-ออก'!$B:$B,สรุป!$C180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0" s="9">
        <f>AE180+SUMIFS('บันทึกของเข้า-ออก'!$J:$J,'บันทึกของเข้า-ออก'!$B:$B,สรุป!$C180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0" s="9">
        <f>AF180+SUMIFS('บันทึกของเข้า-ออก'!$J:$J,'บันทึกของเข้า-ออก'!$B:$B,สรุป!$C180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0" s="9">
        <f>AG180+SUMIFS('บันทึกของเข้า-ออก'!$J:$J,'บันทึกของเข้า-ออก'!$B:$B,สรุป!$C180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0" s="9">
        <f>AH180+SUMIFS('บันทึกของเข้า-ออก'!$J:$J,'บันทึกของเข้า-ออก'!$B:$B,สรุป!$C180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0" s="9">
        <f>AI180+SUMIFS('บันทึกของเข้า-ออก'!$J:$J,'บันทึกของเข้า-ออก'!$B:$B,สรุป!$C180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0" s="9">
        <f>AJ180+SUMIFS('บันทึกของเข้า-ออก'!$J:$J,'บันทึกของเข้า-ออก'!$B:$B,สรุป!$C180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0" s="9">
        <f>AK180+SUMIFS('บันทึกของเข้า-ออก'!$J:$J,'บันทึกของเข้า-ออก'!$B:$B,สรุป!$C180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0" s="26"/>
      <c r="T180" s="33"/>
      <c r="U180" s="34"/>
      <c r="V180" s="25" t="str">
        <f t="shared" si="17"/>
        <v>ยางบวมน้ำ</v>
      </c>
      <c r="W180" s="81">
        <v>0</v>
      </c>
      <c r="X180" s="35" t="s">
        <v>80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  <c r="AD180" s="26">
        <v>0</v>
      </c>
      <c r="AE180" s="26">
        <v>0</v>
      </c>
      <c r="AF180" s="26">
        <v>0</v>
      </c>
      <c r="AG180" s="26">
        <v>0</v>
      </c>
      <c r="AH180" s="26">
        <v>0</v>
      </c>
      <c r="AI180" s="26">
        <v>0</v>
      </c>
      <c r="AJ180" s="26">
        <v>0</v>
      </c>
      <c r="AK180" s="26">
        <v>0</v>
      </c>
      <c r="AL180" s="34"/>
    </row>
    <row r="181" spans="1:38" x14ac:dyDescent="0.3">
      <c r="B181" s="43" t="s">
        <v>178</v>
      </c>
      <c r="C181" s="6" t="s">
        <v>172</v>
      </c>
      <c r="D181" s="44">
        <f t="shared" si="18"/>
        <v>0</v>
      </c>
      <c r="E181" s="6" t="s">
        <v>56</v>
      </c>
      <c r="F181" s="9">
        <f>Y181+SUMIFS('บันทึกของเข้า-ออก'!$J:$J,'บันทึกของเข้า-ออก'!$B:$B,สรุป!$C181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1" s="9">
        <f>Z181+SUMIFS('บันทึกของเข้า-ออก'!$J:$J,'บันทึกของเข้า-ออก'!$B:$B,สรุป!$C181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1" s="9">
        <f>AA181+SUMIFS('บันทึกของเข้า-ออก'!$J:$J,'บันทึกของเข้า-ออก'!$B:$B,สรุป!$C181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1" s="9">
        <f>AB181+SUMIFS('บันทึกของเข้า-ออก'!$J:$J,'บันทึกของเข้า-ออก'!$B:$B,สรุป!$C181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1" s="9">
        <f>AC181+SUMIFS('บันทึกของเข้า-ออก'!$J:$J,'บันทึกของเข้า-ออก'!$B:$B,สรุป!$C181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1" s="9">
        <f>AD181+SUMIFS('บันทึกของเข้า-ออก'!$J:$J,'บันทึกของเข้า-ออก'!$B:$B,สรุป!$C181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1" s="9">
        <f>AE181+SUMIFS('บันทึกของเข้า-ออก'!$J:$J,'บันทึกของเข้า-ออก'!$B:$B,สรุป!$C181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1" s="9">
        <f>AF181+SUMIFS('บันทึกของเข้า-ออก'!$J:$J,'บันทึกของเข้า-ออก'!$B:$B,สรุป!$C181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1" s="9">
        <f>AG181+SUMIFS('บันทึกของเข้า-ออก'!$J:$J,'บันทึกของเข้า-ออก'!$B:$B,สรุป!$C181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1" s="9">
        <f>AH181+SUMIFS('บันทึกของเข้า-ออก'!$J:$J,'บันทึกของเข้า-ออก'!$B:$B,สรุป!$C181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1" s="9">
        <f>AI181+SUMIFS('บันทึกของเข้า-ออก'!$J:$J,'บันทึกของเข้า-ออก'!$B:$B,สรุป!$C181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1" s="9">
        <f>AJ181+SUMIFS('บันทึกของเข้า-ออก'!$J:$J,'บันทึกของเข้า-ออก'!$B:$B,สรุป!$C181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1" s="9">
        <f>AK181+SUMIFS('บันทึกของเข้า-ออก'!$J:$J,'บันทึกของเข้า-ออก'!$B:$B,สรุป!$C181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1" s="26"/>
      <c r="T181" s="33"/>
      <c r="U181" s="34"/>
      <c r="V181" s="25" t="str">
        <f t="shared" si="17"/>
        <v>เครื่องเทสคอนกรีต</v>
      </c>
      <c r="W181" s="44">
        <v>1</v>
      </c>
      <c r="X181" s="35" t="s">
        <v>56</v>
      </c>
      <c r="Y181" s="26">
        <v>0</v>
      </c>
      <c r="Z181" s="26">
        <v>0</v>
      </c>
      <c r="AA181" s="26">
        <v>0</v>
      </c>
      <c r="AB181" s="26">
        <v>0</v>
      </c>
      <c r="AC181" s="26">
        <v>0</v>
      </c>
      <c r="AD181" s="26">
        <v>0</v>
      </c>
      <c r="AE181" s="26">
        <v>0</v>
      </c>
      <c r="AF181" s="26">
        <v>0</v>
      </c>
      <c r="AG181" s="26">
        <v>0</v>
      </c>
      <c r="AH181" s="26">
        <v>0</v>
      </c>
      <c r="AI181" s="26">
        <v>0</v>
      </c>
      <c r="AJ181" s="26">
        <v>0</v>
      </c>
      <c r="AK181" s="26">
        <v>0</v>
      </c>
      <c r="AL181" s="34"/>
    </row>
    <row r="182" spans="1:38" x14ac:dyDescent="0.3">
      <c r="B182" s="43" t="s">
        <v>149</v>
      </c>
      <c r="C182" s="6" t="s">
        <v>147</v>
      </c>
      <c r="D182" s="44">
        <f t="shared" si="18"/>
        <v>0</v>
      </c>
      <c r="E182" s="6" t="s">
        <v>56</v>
      </c>
      <c r="F182" s="9">
        <f>Y182+SUMIFS('บันทึกของเข้า-ออก'!$J:$J,'บันทึกของเข้า-ออก'!$B:$B,สรุป!$C182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2" s="9">
        <f>Z182+SUMIFS('บันทึกของเข้า-ออก'!$J:$J,'บันทึกของเข้า-ออก'!$B:$B,สรุป!$C182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2" s="9">
        <f>AA182+SUMIFS('บันทึกของเข้า-ออก'!$J:$J,'บันทึกของเข้า-ออก'!$B:$B,สรุป!$C182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2" s="9">
        <f>AB182+SUMIFS('บันทึกของเข้า-ออก'!$J:$J,'บันทึกของเข้า-ออก'!$B:$B,สรุป!$C182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2" s="9">
        <f>AC182+SUMIFS('บันทึกของเข้า-ออก'!$J:$J,'บันทึกของเข้า-ออก'!$B:$B,สรุป!$C182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2" s="9">
        <f>AD182+SUMIFS('บันทึกของเข้า-ออก'!$J:$J,'บันทึกของเข้า-ออก'!$B:$B,สรุป!$C182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2" s="9">
        <f>AE182+SUMIFS('บันทึกของเข้า-ออก'!$J:$J,'บันทึกของเข้า-ออก'!$B:$B,สรุป!$C182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2" s="9">
        <f>AF182+SUMIFS('บันทึกของเข้า-ออก'!$J:$J,'บันทึกของเข้า-ออก'!$B:$B,สรุป!$C182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2" s="9">
        <f>AG182+SUMIFS('บันทึกของเข้า-ออก'!$J:$J,'บันทึกของเข้า-ออก'!$B:$B,สรุป!$C182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2" s="9">
        <f>AH182+SUMIFS('บันทึกของเข้า-ออก'!$J:$J,'บันทึกของเข้า-ออก'!$B:$B,สรุป!$C182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2" s="9">
        <f>AI182+SUMIFS('บันทึกของเข้า-ออก'!$J:$J,'บันทึกของเข้า-ออก'!$B:$B,สรุป!$C182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2" s="9">
        <f>AJ182+SUMIFS('บันทึกของเข้า-ออก'!$J:$J,'บันทึกของเข้า-ออก'!$B:$B,สรุป!$C182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2" s="9">
        <f>AK182+SUMIFS('บันทึกของเข้า-ออก'!$J:$J,'บันทึกของเข้า-ออก'!$B:$B,สรุป!$C182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2" s="26"/>
      <c r="T182" s="33"/>
      <c r="U182" s="34"/>
      <c r="V182" s="25" t="str">
        <f t="shared" si="17"/>
        <v>เก้าอี้ขาว</v>
      </c>
      <c r="W182" s="44">
        <v>11</v>
      </c>
      <c r="X182" s="35" t="s">
        <v>56</v>
      </c>
      <c r="Y182" s="26">
        <v>0</v>
      </c>
      <c r="Z182" s="26">
        <v>0</v>
      </c>
      <c r="AA182" s="26">
        <v>0</v>
      </c>
      <c r="AB182" s="26">
        <v>0</v>
      </c>
      <c r="AC182" s="26">
        <v>0</v>
      </c>
      <c r="AD182" s="26">
        <v>0</v>
      </c>
      <c r="AE182" s="26">
        <v>0</v>
      </c>
      <c r="AF182" s="26">
        <v>0</v>
      </c>
      <c r="AG182" s="26">
        <v>0</v>
      </c>
      <c r="AH182" s="26">
        <v>0</v>
      </c>
      <c r="AI182" s="26">
        <v>0</v>
      </c>
      <c r="AJ182" s="26">
        <v>0</v>
      </c>
      <c r="AK182" s="26">
        <v>0</v>
      </c>
      <c r="AL182" s="34"/>
    </row>
    <row r="183" spans="1:38" x14ac:dyDescent="0.3">
      <c r="B183" s="43" t="s">
        <v>149</v>
      </c>
      <c r="C183" s="6" t="s">
        <v>325</v>
      </c>
      <c r="D183" s="44">
        <f t="shared" si="18"/>
        <v>1</v>
      </c>
      <c r="E183" s="6" t="s">
        <v>56</v>
      </c>
      <c r="F183" s="9">
        <f>Y183+SUMIFS('บันทึกของเข้า-ออก'!$J:$J,'บันทึกของเข้า-ออก'!$B:$B,สรุป!$C183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3" s="9">
        <f>Z183+SUMIFS('บันทึกของเข้า-ออก'!$J:$J,'บันทึกของเข้า-ออก'!$B:$B,สรุป!$C183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3" s="9">
        <f>AA183+SUMIFS('บันทึกของเข้า-ออก'!$J:$J,'บันทึกของเข้า-ออก'!$B:$B,สรุป!$C183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3" s="9">
        <f>AB183+SUMIFS('บันทึกของเข้า-ออก'!$J:$J,'บันทึกของเข้า-ออก'!$B:$B,สรุป!$C183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I$5,'บันทึกของเข้า-ออก'!$D:$D,"&gt;="&amp;สรุป!$F$2,'บันทึกของเข้า-ออก'!$D:$D,"&lt;="&amp;สรุป!$G$2)</f>
        <v>1</v>
      </c>
      <c r="J183" s="9">
        <f>AC183+SUMIFS('บันทึกของเข้า-ออก'!$J:$J,'บันทึกของเข้า-ออก'!$B:$B,สรุป!$C183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3" s="9">
        <f>AD183+SUMIFS('บันทึกของเข้า-ออก'!$J:$J,'บันทึกของเข้า-ออก'!$B:$B,สรุป!$C183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3" s="9">
        <f>AE183+SUMIFS('บันทึกของเข้า-ออก'!$J:$J,'บันทึกของเข้า-ออก'!$B:$B,สรุป!$C183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3" s="9">
        <f>AF183+SUMIFS('บันทึกของเข้า-ออก'!$J:$J,'บันทึกของเข้า-ออก'!$B:$B,สรุป!$C183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3" s="9">
        <f>AG183+SUMIFS('บันทึกของเข้า-ออก'!$J:$J,'บันทึกของเข้า-ออก'!$B:$B,สรุป!$C183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3" s="9">
        <f>AH183+SUMIFS('บันทึกของเข้า-ออก'!$J:$J,'บันทึกของเข้า-ออก'!$B:$B,สรุป!$C183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3" s="9">
        <f>AI183+SUMIFS('บันทึกของเข้า-ออก'!$J:$J,'บันทึกของเข้า-ออก'!$B:$B,สรุป!$C183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3" s="9">
        <f>AJ183+SUMIFS('บันทึกของเข้า-ออก'!$J:$J,'บันทึกของเข้า-ออก'!$B:$B,สรุป!$C183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3" s="9">
        <f>AK183+SUMIFS('บันทึกของเข้า-ออก'!$J:$J,'บันทึกของเข้า-ออก'!$B:$B,สรุป!$C183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3" s="70" t="s">
        <v>326</v>
      </c>
      <c r="T183" s="33"/>
      <c r="U183" s="34"/>
      <c r="V183" s="25" t="str">
        <f t="shared" si="17"/>
        <v>กล้องวงจรปิด</v>
      </c>
      <c r="W183" s="44"/>
      <c r="X183" s="35"/>
      <c r="Y183" s="26">
        <v>0</v>
      </c>
      <c r="Z183" s="26">
        <v>0</v>
      </c>
      <c r="AA183" s="26">
        <v>0</v>
      </c>
      <c r="AB183" s="26">
        <v>1</v>
      </c>
      <c r="AC183" s="26">
        <v>0</v>
      </c>
      <c r="AD183" s="26">
        <v>0</v>
      </c>
      <c r="AE183" s="26">
        <v>0</v>
      </c>
      <c r="AF183" s="26">
        <v>0</v>
      </c>
      <c r="AG183" s="26">
        <v>0</v>
      </c>
      <c r="AH183" s="26">
        <v>0</v>
      </c>
      <c r="AI183" s="26">
        <v>0</v>
      </c>
      <c r="AJ183" s="26">
        <v>0</v>
      </c>
      <c r="AK183" s="26">
        <v>0</v>
      </c>
      <c r="AL183" s="34"/>
    </row>
    <row r="184" spans="1:38" x14ac:dyDescent="0.3">
      <c r="B184" s="43" t="s">
        <v>149</v>
      </c>
      <c r="C184" s="6" t="s">
        <v>148</v>
      </c>
      <c r="D184" s="44">
        <f t="shared" si="18"/>
        <v>0</v>
      </c>
      <c r="E184" s="6" t="s">
        <v>56</v>
      </c>
      <c r="F184" s="9">
        <f>Y184+SUMIFS('บันทึกของเข้า-ออก'!$J:$J,'บันทึกของเข้า-ออก'!$B:$B,สรุป!$C184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4" s="9">
        <f>Z184+SUMIFS('บันทึกของเข้า-ออก'!$J:$J,'บันทึกของเข้า-ออก'!$B:$B,สรุป!$C184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4" s="9">
        <f>AA184+SUMIFS('บันทึกของเข้า-ออก'!$J:$J,'บันทึกของเข้า-ออก'!$B:$B,สรุป!$C184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4" s="9">
        <f>AB184+SUMIFS('บันทึกของเข้า-ออก'!$J:$J,'บันทึกของเข้า-ออก'!$B:$B,สรุป!$C184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4" s="9">
        <f>AC184+SUMIFS('บันทึกของเข้า-ออก'!$J:$J,'บันทึกของเข้า-ออก'!$B:$B,สรุป!$C184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4" s="9">
        <f>AD184+SUMIFS('บันทึกของเข้า-ออก'!$J:$J,'บันทึกของเข้า-ออก'!$B:$B,สรุป!$C184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4" s="9">
        <f>AE184+SUMIFS('บันทึกของเข้า-ออก'!$J:$J,'บันทึกของเข้า-ออก'!$B:$B,สรุป!$C184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4" s="9">
        <f>AF184+SUMIFS('บันทึกของเข้า-ออก'!$J:$J,'บันทึกของเข้า-ออก'!$B:$B,สรุป!$C184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4" s="9">
        <f>AG184+SUMIFS('บันทึกของเข้า-ออก'!$J:$J,'บันทึกของเข้า-ออก'!$B:$B,สรุป!$C184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4" s="9">
        <f>AH184+SUMIFS('บันทึกของเข้า-ออก'!$J:$J,'บันทึกของเข้า-ออก'!$B:$B,สรุป!$C184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4" s="9">
        <f>AI184+SUMIFS('บันทึกของเข้า-ออก'!$J:$J,'บันทึกของเข้า-ออก'!$B:$B,สรุป!$C184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4" s="9">
        <f>AJ184+SUMIFS('บันทึกของเข้า-ออก'!$J:$J,'บันทึกของเข้า-ออก'!$B:$B,สรุป!$C184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4" s="9">
        <f>AK184+SUMIFS('บันทึกของเข้า-ออก'!$J:$J,'บันทึกของเข้า-ออก'!$B:$B,สรุป!$C184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4" s="26"/>
      <c r="T184" s="33"/>
      <c r="U184" s="34"/>
      <c r="V184" s="25" t="str">
        <f t="shared" si="17"/>
        <v>เก้าอี้ดำพับ</v>
      </c>
      <c r="W184" s="44">
        <v>14</v>
      </c>
      <c r="X184" s="35" t="s">
        <v>56</v>
      </c>
      <c r="Y184" s="26">
        <v>0</v>
      </c>
      <c r="Z184" s="26">
        <v>0</v>
      </c>
      <c r="AA184" s="26">
        <v>0</v>
      </c>
      <c r="AB184" s="26">
        <v>0</v>
      </c>
      <c r="AC184" s="26">
        <v>0</v>
      </c>
      <c r="AD184" s="26">
        <v>0</v>
      </c>
      <c r="AE184" s="26">
        <v>0</v>
      </c>
      <c r="AF184" s="26">
        <v>0</v>
      </c>
      <c r="AG184" s="26">
        <v>0</v>
      </c>
      <c r="AH184" s="26">
        <v>0</v>
      </c>
      <c r="AI184" s="26">
        <v>0</v>
      </c>
      <c r="AJ184" s="26">
        <v>0</v>
      </c>
      <c r="AK184" s="26">
        <v>0</v>
      </c>
      <c r="AL184" s="34"/>
    </row>
    <row r="185" spans="1:38" x14ac:dyDescent="0.3">
      <c r="B185" s="43" t="s">
        <v>149</v>
      </c>
      <c r="C185" s="6" t="s">
        <v>143</v>
      </c>
      <c r="D185" s="44">
        <f t="shared" si="18"/>
        <v>3</v>
      </c>
      <c r="E185" s="6" t="s">
        <v>56</v>
      </c>
      <c r="F185" s="9">
        <f>Y185+SUMIFS('บันทึกของเข้า-ออก'!$J:$J,'บันทึกของเข้า-ออก'!$B:$B,สรุป!$C185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5" s="9">
        <f>Z185+SUMIFS('บันทึกของเข้า-ออก'!$J:$J,'บันทึกของเข้า-ออก'!$B:$B,สรุป!$C185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5" s="9">
        <f>AA185+SUMIFS('บันทึกของเข้า-ออก'!$J:$J,'บันทึกของเข้า-ออก'!$B:$B,สรุป!$C185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5" s="9">
        <f>AB185+SUMIFS('บันทึกของเข้า-ออก'!$J:$J,'บันทึกของเข้า-ออก'!$B:$B,สรุป!$C185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5" s="9">
        <f>AC185+SUMIFS('บันทึกของเข้า-ออก'!$J:$J,'บันทึกของเข้า-ออก'!$B:$B,สรุป!$C185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5" s="9">
        <f>AD185+SUMIFS('บันทึกของเข้า-ออก'!$J:$J,'บันทึกของเข้า-ออก'!$B:$B,สรุป!$C185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5" s="9">
        <f>AE185+SUMIFS('บันทึกของเข้า-ออก'!$J:$J,'บันทึกของเข้า-ออก'!$B:$B,สรุป!$C185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5" s="9">
        <v>1</v>
      </c>
      <c r="N185" s="9">
        <f>AG185+SUMIFS('บันทึกของเข้า-ออก'!$J:$J,'บันทึกของเข้า-ออก'!$B:$B,สรุป!$C185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5" s="9">
        <v>2</v>
      </c>
      <c r="P185" s="9">
        <f>AI185+SUMIFS('บันทึกของเข้า-ออก'!$J:$J,'บันทึกของเข้า-ออก'!$B:$B,สรุป!$C185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5" s="9">
        <f>AJ185+SUMIFS('บันทึกของเข้า-ออก'!$J:$J,'บันทึกของเข้า-ออก'!$B:$B,สรุป!$C185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5" s="9">
        <f>AK185+SUMIFS('บันทึกของเข้า-ออก'!$J:$J,'บันทึกของเข้า-ออก'!$B:$B,สรุป!$C185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5" s="26"/>
      <c r="T185" s="33"/>
      <c r="U185" s="34"/>
      <c r="V185" s="25" t="str">
        <f t="shared" si="17"/>
        <v>เครื่องปริ้น</v>
      </c>
      <c r="W185" s="44">
        <v>2</v>
      </c>
      <c r="X185" s="35" t="s">
        <v>56</v>
      </c>
      <c r="Y185" s="26">
        <v>0</v>
      </c>
      <c r="Z185" s="26">
        <v>0</v>
      </c>
      <c r="AA185" s="26">
        <v>0</v>
      </c>
      <c r="AB185" s="26">
        <v>0</v>
      </c>
      <c r="AC185" s="26">
        <v>0</v>
      </c>
      <c r="AD185" s="26">
        <v>0</v>
      </c>
      <c r="AE185" s="26">
        <v>0</v>
      </c>
      <c r="AF185" s="26">
        <v>0</v>
      </c>
      <c r="AG185" s="26">
        <v>0</v>
      </c>
      <c r="AH185" s="26">
        <v>0</v>
      </c>
      <c r="AI185" s="26">
        <v>0</v>
      </c>
      <c r="AJ185" s="26">
        <v>0</v>
      </c>
      <c r="AK185" s="26">
        <v>0</v>
      </c>
      <c r="AL185" s="34"/>
    </row>
    <row r="186" spans="1:38" x14ac:dyDescent="0.3">
      <c r="B186" s="43" t="s">
        <v>149</v>
      </c>
      <c r="C186" s="6" t="s">
        <v>203</v>
      </c>
      <c r="D186" s="44">
        <f t="shared" si="18"/>
        <v>0</v>
      </c>
      <c r="E186" s="6" t="s">
        <v>56</v>
      </c>
      <c r="F186" s="9">
        <f>Y186+SUMIFS('บันทึกของเข้า-ออก'!$J:$J,'บันทึกของเข้า-ออก'!$B:$B,สรุป!$C186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6" s="9">
        <f>Z186+SUMIFS('บันทึกของเข้า-ออก'!$J:$J,'บันทึกของเข้า-ออก'!$B:$B,สรุป!$C186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6" s="9">
        <f>AA186+SUMIFS('บันทึกของเข้า-ออก'!$J:$J,'บันทึกของเข้า-ออก'!$B:$B,สรุป!$C186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6" s="9" t="s">
        <v>113</v>
      </c>
      <c r="J186" s="9">
        <f>AC186+SUMIFS('บันทึกของเข้า-ออก'!$J:$J,'บันทึกของเข้า-ออก'!$B:$B,สรุป!$C186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6" s="9">
        <f>AD186+SUMIFS('บันทึกของเข้า-ออก'!$J:$J,'บันทึกของเข้า-ออก'!$B:$B,สรุป!$C186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6" s="9">
        <f>AE186+SUMIFS('บันทึกของเข้า-ออก'!$J:$J,'บันทึกของเข้า-ออก'!$B:$B,สรุป!$C186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6" s="9">
        <f>AF186+SUMIFS('บันทึกของเข้า-ออก'!$J:$J,'บันทึกของเข้า-ออก'!$B:$B,สรุป!$C186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6" s="9">
        <f>AG186+SUMIFS('บันทึกของเข้า-ออก'!$J:$J,'บันทึกของเข้า-ออก'!$B:$B,สรุป!$C186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6" s="9">
        <f>AH186+SUMIFS('บันทึกของเข้า-ออก'!$J:$J,'บันทึกของเข้า-ออก'!$B:$B,สรุป!$C186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6" s="9">
        <f>AI186+SUMIFS('บันทึกของเข้า-ออก'!$J:$J,'บันทึกของเข้า-ออก'!$B:$B,สรุป!$C186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6" s="9">
        <f>AJ186+SUMIFS('บันทึกของเข้า-ออก'!$J:$J,'บันทึกของเข้า-ออก'!$B:$B,สรุป!$C186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6" s="9">
        <f>AK186+SUMIFS('บันทึกของเข้า-ออก'!$J:$J,'บันทึกของเข้า-ออก'!$B:$B,สรุป!$C186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6" s="26"/>
      <c r="T186" s="33"/>
      <c r="U186" s="34"/>
      <c r="V186" s="25" t="str">
        <f t="shared" si="17"/>
        <v>โต๊ะพับ</v>
      </c>
      <c r="W186" s="44">
        <v>10</v>
      </c>
      <c r="X186" s="35" t="s">
        <v>56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0</v>
      </c>
      <c r="AH186" s="26">
        <v>0</v>
      </c>
      <c r="AI186" s="26">
        <v>0</v>
      </c>
      <c r="AJ186" s="26">
        <v>0</v>
      </c>
      <c r="AK186" s="26">
        <v>0</v>
      </c>
      <c r="AL186" s="34"/>
    </row>
    <row r="187" spans="1:38" x14ac:dyDescent="0.3">
      <c r="B187" s="43" t="s">
        <v>149</v>
      </c>
      <c r="C187" s="6" t="s">
        <v>144</v>
      </c>
      <c r="D187" s="44">
        <f t="shared" si="18"/>
        <v>0</v>
      </c>
      <c r="E187" s="6" t="s">
        <v>61</v>
      </c>
      <c r="F187" s="9">
        <f>Y187+SUMIFS('บันทึกของเข้า-ออก'!$J:$J,'บันทึกของเข้า-ออก'!$B:$B,สรุป!$C187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7" s="9">
        <f>Z187+SUMIFS('บันทึกของเข้า-ออก'!$J:$J,'บันทึกของเข้า-ออก'!$B:$B,สรุป!$C187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7" s="9">
        <f>AA187+SUMIFS('บันทึกของเข้า-ออก'!$J:$J,'บันทึกของเข้า-ออก'!$B:$B,สรุป!$C187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7" s="9">
        <f>AB187+SUMIFS('บันทึกของเข้า-ออก'!$J:$J,'บันทึกของเข้า-ออก'!$B:$B,สรุป!$C187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7" s="9">
        <f>AC187+SUMIFS('บันทึกของเข้า-ออก'!$J:$J,'บันทึกของเข้า-ออก'!$B:$B,สรุป!$C187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7" s="9">
        <f>AD187+SUMIFS('บันทึกของเข้า-ออก'!$J:$J,'บันทึกของเข้า-ออก'!$B:$B,สรุป!$C187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7" s="9">
        <f>AE187+SUMIFS('บันทึกของเข้า-ออก'!$J:$J,'บันทึกของเข้า-ออก'!$B:$B,สรุป!$C187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7" s="9">
        <f>AF187+SUMIFS('บันทึกของเข้า-ออก'!$J:$J,'บันทึกของเข้า-ออก'!$B:$B,สรุป!$C187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7" s="9">
        <f>AG187+SUMIFS('บันทึกของเข้า-ออก'!$J:$J,'บันทึกของเข้า-ออก'!$B:$B,สรุป!$C187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7" s="9">
        <f>AH187+SUMIFS('บันทึกของเข้า-ออก'!$J:$J,'บันทึกของเข้า-ออก'!$B:$B,สรุป!$C187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7" s="9">
        <f>AI187+SUMIFS('บันทึกของเข้า-ออก'!$J:$J,'บันทึกของเข้า-ออก'!$B:$B,สรุป!$C187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7" s="9">
        <f>AJ187+SUMIFS('บันทึกของเข้า-ออก'!$J:$J,'บันทึกของเข้า-ออก'!$B:$B,สรุป!$C187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7" s="9">
        <f>AK187+SUMIFS('บันทึกของเข้า-ออก'!$J:$J,'บันทึกของเข้า-ออก'!$B:$B,สรุป!$C187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7" s="26"/>
      <c r="T187" s="33"/>
      <c r="U187" s="34"/>
      <c r="V187" s="25" t="str">
        <f t="shared" si="17"/>
        <v>ทีวีพร้อมขาตั้งทีวี</v>
      </c>
      <c r="W187" s="44">
        <v>1</v>
      </c>
      <c r="X187" s="35" t="s">
        <v>61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  <c r="AH187" s="26">
        <v>0</v>
      </c>
      <c r="AI187" s="26">
        <v>0</v>
      </c>
      <c r="AJ187" s="26">
        <v>0</v>
      </c>
      <c r="AK187" s="26">
        <v>0</v>
      </c>
      <c r="AL187" s="34"/>
    </row>
    <row r="188" spans="1:38" x14ac:dyDescent="0.3">
      <c r="A188" s="4">
        <v>1</v>
      </c>
      <c r="B188" s="43" t="s">
        <v>149</v>
      </c>
      <c r="C188" s="6" t="s">
        <v>204</v>
      </c>
      <c r="D188" s="44">
        <f t="shared" si="18"/>
        <v>2</v>
      </c>
      <c r="E188" s="6" t="s">
        <v>59</v>
      </c>
      <c r="F188" s="9">
        <f>Y188+SUMIFS('บันทึกของเข้า-ออก'!$J:$J,'บันทึกของเข้า-ออก'!$B:$B,สรุป!$C188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8" s="9">
        <f>Z188+SUMIFS('บันทึกของเข้า-ออก'!$J:$J,'บันทึกของเข้า-ออก'!$B:$B,สรุป!$C188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8" s="9">
        <f>AA188+SUMIFS('บันทึกของเข้า-ออก'!$J:$J,'บันทึกของเข้า-ออก'!$B:$B,สรุป!$C188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8" s="9">
        <f>AB188+SUMIFS('บันทึกของเข้า-ออก'!$J:$J,'บันทึกของเข้า-ออก'!$B:$B,สรุป!$C188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8" s="9">
        <f>AC188+SUMIFS('บันทึกของเข้า-ออก'!$J:$J,'บันทึกของเข้า-ออก'!$B:$B,สรุป!$C188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8" s="9">
        <f>AD188+SUMIFS('บันทึกของเข้า-ออก'!$J:$J,'บันทึกของเข้า-ออก'!$B:$B,สรุป!$C188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8" s="9">
        <f>AE188+SUMIFS('บันทึกของเข้า-ออก'!$J:$J,'บันทึกของเข้า-ออก'!$B:$B,สรุป!$C188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8" s="9">
        <f>AF188+SUMIFS('บันทึกของเข้า-ออก'!$J:$J,'บันทึกของเข้า-ออก'!$B:$B,สรุป!$C188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8" s="9">
        <f>AG188+SUMIFS('บันทึกของเข้า-ออก'!$J:$J,'บันทึกของเข้า-ออก'!$B:$B,สรุป!$C188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8" s="9">
        <v>2</v>
      </c>
      <c r="P188" s="9">
        <f>AI188+SUMIFS('บันทึกของเข้า-ออก'!$J:$J,'บันทึกของเข้า-ออก'!$B:$B,สรุป!$C188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8" s="9">
        <f>AJ188+SUMIFS('บันทึกของเข้า-ออก'!$J:$J,'บันทึกของเข้า-ออก'!$B:$B,สรุป!$C188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8" s="9">
        <f>AK188+SUMIFS('บันทึกของเข้า-ออก'!$J:$J,'บันทึกของเข้า-ออก'!$B:$B,สรุป!$C188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8" s="26"/>
      <c r="T188" s="33"/>
      <c r="U188" s="34"/>
      <c r="V188" s="25" t="str">
        <f t="shared" si="17"/>
        <v>กระดานไวท์บอร์ด</v>
      </c>
      <c r="W188" s="44">
        <v>2</v>
      </c>
      <c r="X188" s="35" t="s">
        <v>59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  <c r="AI188" s="26">
        <v>0</v>
      </c>
      <c r="AJ188" s="26">
        <v>0</v>
      </c>
      <c r="AK188" s="26">
        <v>0</v>
      </c>
      <c r="AL188" s="34"/>
    </row>
    <row r="189" spans="1:38" x14ac:dyDescent="0.3">
      <c r="B189" s="43" t="s">
        <v>131</v>
      </c>
      <c r="C189" s="6" t="s">
        <v>231</v>
      </c>
      <c r="D189" s="44">
        <f t="shared" si="18"/>
        <v>0</v>
      </c>
      <c r="E189" s="6" t="s">
        <v>56</v>
      </c>
      <c r="F189" s="9">
        <f>Y189+SUMIFS('บันทึกของเข้า-ออก'!$J:$J,'บันทึกของเข้า-ออก'!$B:$B,สรุป!$C189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89" s="9">
        <f>Z189+SUMIFS('บันทึกของเข้า-ออก'!$J:$J,'บันทึกของเข้า-ออก'!$B:$B,สรุป!$C189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89" s="9">
        <f>AA189+SUMIFS('บันทึกของเข้า-ออก'!$J:$J,'บันทึกของเข้า-ออก'!$B:$B,สรุป!$C189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89" s="9">
        <f>AB189+SUMIFS('บันทึกของเข้า-ออก'!$J:$J,'บันทึกของเข้า-ออก'!$B:$B,สรุป!$C189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89" s="9">
        <f>AC189+SUMIFS('บันทึกของเข้า-ออก'!$J:$J,'บันทึกของเข้า-ออก'!$B:$B,สรุป!$C189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89" s="9">
        <f>AD189+SUMIFS('บันทึกของเข้า-ออก'!$J:$J,'บันทึกของเข้า-ออก'!$B:$B,สรุป!$C189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89" s="9">
        <f>AE189+SUMIFS('บันทึกของเข้า-ออก'!$J:$J,'บันทึกของเข้า-ออก'!$B:$B,สรุป!$C189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89" s="9">
        <f>AF189+SUMIFS('บันทึกของเข้า-ออก'!$J:$J,'บันทึกของเข้า-ออก'!$B:$B,สรุป!$C189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89" s="9">
        <f>AG189+SUMIFS('บันทึกของเข้า-ออก'!$J:$J,'บันทึกของเข้า-ออก'!$B:$B,สรุป!$C189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89" s="9">
        <f>AH189+SUMIFS('บันทึกของเข้า-ออก'!$J:$J,'บันทึกของเข้า-ออก'!$B:$B,สรุป!$C189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89" s="9">
        <f>AI189+SUMIFS('บันทึกของเข้า-ออก'!$J:$J,'บันทึกของเข้า-ออก'!$B:$B,สรุป!$C189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89" s="9">
        <f>AJ189+SUMIFS('บันทึกของเข้า-ออก'!$J:$J,'บันทึกของเข้า-ออก'!$B:$B,สรุป!$C189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89" s="9">
        <f>AK189+SUMIFS('บันทึกของเข้า-ออก'!$J:$J,'บันทึกของเข้า-ออก'!$B:$B,สรุป!$C189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189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89" s="26"/>
      <c r="T189" s="33"/>
      <c r="U189" s="34"/>
      <c r="V189" s="25" t="str">
        <f t="shared" ref="V189:V222" si="19">C189</f>
        <v>แผ่นเหล็กพับลูกบันได 0.30x0.60 ม</v>
      </c>
      <c r="W189" s="44">
        <v>16</v>
      </c>
      <c r="X189" s="35" t="s">
        <v>56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>
        <v>0</v>
      </c>
      <c r="AH189" s="26">
        <v>0</v>
      </c>
      <c r="AI189" s="26">
        <v>0</v>
      </c>
      <c r="AJ189" s="26">
        <v>0</v>
      </c>
      <c r="AK189" s="26">
        <v>0</v>
      </c>
      <c r="AL189" s="34"/>
    </row>
    <row r="190" spans="1:38" x14ac:dyDescent="0.3">
      <c r="B190" s="43" t="s">
        <v>131</v>
      </c>
      <c r="C190" s="6" t="s">
        <v>258</v>
      </c>
      <c r="D190" s="44">
        <f t="shared" si="18"/>
        <v>0</v>
      </c>
      <c r="E190" s="6" t="s">
        <v>80</v>
      </c>
      <c r="F190" s="9">
        <f>Y190+SUMIFS('บันทึกของเข้า-ออก'!$J:$J,'บันทึกของเข้า-ออก'!$B:$B,สรุป!$C190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0" s="9">
        <f>Z190+SUMIFS('บันทึกของเข้า-ออก'!$J:$J,'บันทึกของเข้า-ออก'!$B:$B,สรุป!$C190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0" s="9">
        <f>AA190+SUMIFS('บันทึกของเข้า-ออก'!$J:$J,'บันทึกของเข้า-ออก'!$B:$B,สรุป!$C190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0" s="9">
        <f>AB190+SUMIFS('บันทึกของเข้า-ออก'!$J:$J,'บันทึกของเข้า-ออก'!$B:$B,สรุป!$C190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0" s="9">
        <f>AC190+SUMIFS('บันทึกของเข้า-ออก'!$J:$J,'บันทึกของเข้า-ออก'!$B:$B,สรุป!$C190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0" s="9">
        <f>AD190+SUMIFS('บันทึกของเข้า-ออก'!$J:$J,'บันทึกของเข้า-ออก'!$B:$B,สรุป!$C190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0" s="9">
        <f>AE190+SUMIFS('บันทึกของเข้า-ออก'!$J:$J,'บันทึกของเข้า-ออก'!$B:$B,สรุป!$C190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0" s="9">
        <f>AF190+SUMIFS('บันทึกของเข้า-ออก'!$J:$J,'บันทึกของเข้า-ออก'!$B:$B,สรุป!$C190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90" s="9">
        <f>AG190+SUMIFS('บันทึกของเข้า-ออก'!$J:$J,'บันทึกของเข้า-ออก'!$B:$B,สรุป!$C190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0" s="9">
        <f>AH190+SUMIFS('บันทึกของเข้า-ออก'!$J:$J,'บันทึกของเข้า-ออก'!$B:$B,สรุป!$C190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0" s="9">
        <f>AI190+SUMIFS('บันทึกของเข้า-ออก'!$J:$J,'บันทึกของเข้า-ออก'!$B:$B,สรุป!$C190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0" s="9">
        <f>AJ190+SUMIFS('บันทึกของเข้า-ออก'!$J:$J,'บันทึกของเข้า-ออก'!$B:$B,สรุป!$C190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0" s="9">
        <f>AK190+SUMIFS('บันทึกของเข้า-ออก'!$J:$J,'บันทึกของเข้า-ออก'!$B:$B,สรุป!$C190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0" s="26"/>
      <c r="T190" s="33"/>
      <c r="U190" s="34"/>
      <c r="V190" s="25" t="str">
        <f t="shared" si="19"/>
        <v>สายยางสีเขียว 50 ม.</v>
      </c>
      <c r="W190" s="44">
        <v>2</v>
      </c>
      <c r="X190" s="35" t="s">
        <v>80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0</v>
      </c>
      <c r="AH190" s="26">
        <v>0</v>
      </c>
      <c r="AI190" s="26">
        <v>0</v>
      </c>
      <c r="AJ190" s="26">
        <v>0</v>
      </c>
      <c r="AK190" s="26">
        <v>0</v>
      </c>
      <c r="AL190" s="34"/>
    </row>
    <row r="191" spans="1:38" x14ac:dyDescent="0.3">
      <c r="B191" s="43" t="s">
        <v>131</v>
      </c>
      <c r="C191" s="6" t="s">
        <v>173</v>
      </c>
      <c r="D191" s="44">
        <f t="shared" si="18"/>
        <v>3</v>
      </c>
      <c r="E191" s="6" t="s">
        <v>58</v>
      </c>
      <c r="F191" s="9">
        <f>Y191+SUMIFS('บันทึกของเข้า-ออก'!$J:$J,'บันทึกของเข้า-ออก'!$B:$B,สรุป!$C191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1" s="9">
        <f>Z191+SUMIFS('บันทึกของเข้า-ออก'!$J:$J,'บันทึกของเข้า-ออก'!$B:$B,สรุป!$C191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191" s="9">
        <f>AA191+SUMIFS('บันทึกของเข้า-ออก'!$J:$J,'บันทึกของเข้า-ออก'!$B:$B,สรุป!$C191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1" s="9">
        <f>AB191+SUMIFS('บันทึกของเข้า-ออก'!$J:$J,'บันทึกของเข้า-ออก'!$B:$B,สรุป!$C191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1" s="9">
        <v>1</v>
      </c>
      <c r="K191" s="9">
        <f>AD191+SUMIFS('บันทึกของเข้า-ออก'!$J:$J,'บันทึกของเข้า-ออก'!$B:$B,สรุป!$C191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1" s="9">
        <f>AE191+SUMIFS('บันทึกของเข้า-ออก'!$J:$J,'บันทึกของเข้า-ออก'!$B:$B,สรุป!$C191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1" s="9">
        <f>AF191+SUMIFS('บันทึกของเข้า-ออก'!$J:$J,'บันทึกของเข้า-ออก'!$B:$B,สรุป!$C191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91" s="9">
        <f>AG191+SUMIFS('บันทึกของเข้า-ออก'!$J:$J,'บันทึกของเข้า-ออก'!$B:$B,สรุป!$C191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191" s="9">
        <f>AH191+SUMIFS('บันทึกของเข้า-ออก'!$J:$J,'บันทึกของเข้า-ออก'!$B:$B,สรุป!$C191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1" s="9">
        <f>AI191+SUMIFS('บันทึกของเข้า-ออก'!$J:$J,'บันทึกของเข้า-ออก'!$B:$B,สรุป!$C191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1" s="9">
        <f>AJ191+SUMIFS('บันทึกของเข้า-ออก'!$J:$J,'บันทึกของเข้า-ออก'!$B:$B,สรุป!$C191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1" s="9">
        <f>AK191+SUMIFS('บันทึกของเข้า-ออก'!$J:$J,'บันทึกของเข้า-ออก'!$B:$B,สรุป!$C191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1" s="26"/>
      <c r="T191" s="33"/>
      <c r="U191" s="34"/>
      <c r="V191" s="25" t="str">
        <f t="shared" si="19"/>
        <v>กะบะผสมปูน</v>
      </c>
      <c r="W191" s="44">
        <v>1</v>
      </c>
      <c r="X191" s="35" t="s">
        <v>58</v>
      </c>
      <c r="Y191" s="26">
        <v>0</v>
      </c>
      <c r="Z191" s="26">
        <v>1</v>
      </c>
      <c r="AA191" s="26">
        <v>0</v>
      </c>
      <c r="AB191" s="26">
        <v>0</v>
      </c>
      <c r="AC191" s="26">
        <v>0</v>
      </c>
      <c r="AD191" s="26">
        <v>0</v>
      </c>
      <c r="AE191" s="26">
        <v>0</v>
      </c>
      <c r="AF191" s="26">
        <v>0</v>
      </c>
      <c r="AG191" s="26">
        <v>1</v>
      </c>
      <c r="AH191" s="26">
        <v>0</v>
      </c>
      <c r="AI191" s="26">
        <v>0</v>
      </c>
      <c r="AJ191" s="26">
        <v>0</v>
      </c>
      <c r="AK191" s="26">
        <v>0</v>
      </c>
      <c r="AL191" s="34"/>
    </row>
    <row r="192" spans="1:38" x14ac:dyDescent="0.3">
      <c r="B192" s="43" t="s">
        <v>131</v>
      </c>
      <c r="C192" s="6" t="s">
        <v>294</v>
      </c>
      <c r="D192" s="44">
        <f t="shared" si="18"/>
        <v>1</v>
      </c>
      <c r="E192" s="6" t="s">
        <v>61</v>
      </c>
      <c r="F192" s="9">
        <f>Y192+SUMIFS('บันทึกของเข้า-ออก'!$J:$J,'บันทึกของเข้า-ออก'!$B:$B,สรุป!$C192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2" s="9">
        <f>Z192+SUMIFS('บันทึกของเข้า-ออก'!$J:$J,'บันทึกของเข้า-ออก'!$B:$B,สรุป!$C192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2" s="9">
        <f>AA192+SUMIFS('บันทึกของเข้า-ออก'!$J:$J,'บันทึกของเข้า-ออก'!$B:$B,สรุป!$C192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2" s="9">
        <f>AB192+SUMIFS('บันทึกของเข้า-ออก'!$J:$J,'บันทึกของเข้า-ออก'!$B:$B,สรุป!$C192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2" s="9">
        <f>AC192+SUMIFS('บันทึกของเข้า-ออก'!$J:$J,'บันทึกของเข้า-ออก'!$B:$B,สรุป!$C192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2" s="9">
        <f>AD192+SUMIFS('บันทึกของเข้า-ออก'!$J:$J,'บันทึกของเข้า-ออก'!$B:$B,สรุป!$C192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2" s="9">
        <f>AE192+SUMIFS('บันทึกของเข้า-ออก'!$J:$J,'บันทึกของเข้า-ออก'!$B:$B,สรุป!$C192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2" s="9">
        <f>AF192+SUMIFS('บันทึกของเข้า-ออก'!$J:$J,'บันทึกของเข้า-ออก'!$B:$B,สรุป!$C192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192" s="9">
        <f>AG192+SUMIFS('บันทึกของเข้า-ออก'!$J:$J,'บันทึกของเข้า-ออก'!$B:$B,สรุป!$C192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2" s="9">
        <f>AH192+SUMIFS('บันทึกของเข้า-ออก'!$J:$J,'บันทึกของเข้า-ออก'!$B:$B,สรุป!$C192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2" s="9">
        <f>AI192+SUMIFS('บันทึกของเข้า-ออก'!$J:$J,'บันทึกของเข้า-ออก'!$B:$B,สรุป!$C192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2" s="9">
        <f>AJ192+SUMIFS('บันทึกของเข้า-ออก'!$J:$J,'บันทึกของเข้า-ออก'!$B:$B,สรุป!$C192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2" s="9">
        <f>AK192+SUMIFS('บันทึกของเข้า-ออก'!$J:$J,'บันทึกของเข้า-ออก'!$B:$B,สรุป!$C192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2" s="26"/>
      <c r="T192" s="33"/>
      <c r="U192" s="34"/>
      <c r="V192" s="25" t="str">
        <f t="shared" si="19"/>
        <v>ไมโครเวฟ</v>
      </c>
      <c r="W192" s="79">
        <v>1</v>
      </c>
      <c r="X192" s="35" t="s">
        <v>61</v>
      </c>
      <c r="Y192" s="26">
        <v>0</v>
      </c>
      <c r="Z192" s="26">
        <v>0</v>
      </c>
      <c r="AA192" s="26">
        <v>0</v>
      </c>
      <c r="AB192" s="26">
        <v>0</v>
      </c>
      <c r="AC192" s="26">
        <v>0</v>
      </c>
      <c r="AD192" s="26">
        <v>0</v>
      </c>
      <c r="AE192" s="26">
        <v>0</v>
      </c>
      <c r="AF192" s="26">
        <v>1</v>
      </c>
      <c r="AG192" s="26">
        <v>0</v>
      </c>
      <c r="AH192" s="26">
        <v>0</v>
      </c>
      <c r="AI192" s="26">
        <v>0</v>
      </c>
      <c r="AJ192" s="26">
        <v>0</v>
      </c>
      <c r="AK192" s="26">
        <v>0</v>
      </c>
      <c r="AL192" s="34"/>
    </row>
    <row r="193" spans="2:38" x14ac:dyDescent="0.3">
      <c r="B193" s="43" t="s">
        <v>131</v>
      </c>
      <c r="C193" s="6" t="s">
        <v>293</v>
      </c>
      <c r="D193" s="44">
        <f t="shared" si="18"/>
        <v>1</v>
      </c>
      <c r="E193" s="6" t="s">
        <v>61</v>
      </c>
      <c r="F193" s="9">
        <f>Y193+SUMIFS('บันทึกของเข้า-ออก'!$J:$J,'บันทึกของเข้า-ออก'!$B:$B,สรุป!$C193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3" s="9">
        <f>Z193+SUMIFS('บันทึกของเข้า-ออก'!$J:$J,'บันทึกของเข้า-ออก'!$B:$B,สรุป!$C193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3" s="9">
        <f>AA193+SUMIFS('บันทึกของเข้า-ออก'!$J:$J,'บันทึกของเข้า-ออก'!$B:$B,สรุป!$C193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3" s="9">
        <f>AB193+SUMIFS('บันทึกของเข้า-ออก'!$J:$J,'บันทึกของเข้า-ออก'!$B:$B,สรุป!$C193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3" s="9">
        <f>AC193+SUMIFS('บันทึกของเข้า-ออก'!$J:$J,'บันทึกของเข้า-ออก'!$B:$B,สรุป!$C193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3" s="9">
        <f>AD193+SUMIFS('บันทึกของเข้า-ออก'!$J:$J,'บันทึกของเข้า-ออก'!$B:$B,สรุป!$C193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3" s="9">
        <f>AE193+SUMIFS('บันทึกของเข้า-ออก'!$J:$J,'บันทึกของเข้า-ออก'!$B:$B,สรุป!$C193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3" s="9">
        <f>AF193+SUMIFS('บันทึกของเข้า-ออก'!$J:$J,'บันทึกของเข้า-ออก'!$B:$B,สรุป!$C193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193" s="9">
        <f>AG193+SUMIFS('บันทึกของเข้า-ออก'!$J:$J,'บันทึกของเข้า-ออก'!$B:$B,สรุป!$C193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3" s="9">
        <f>AH193+SUMIFS('บันทึกของเข้า-ออก'!$J:$J,'บันทึกของเข้า-ออก'!$B:$B,สรุป!$C193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3" s="9">
        <f>AI193+SUMIFS('บันทึกของเข้า-ออก'!$J:$J,'บันทึกของเข้า-ออก'!$B:$B,สรุป!$C193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3" s="9">
        <f>AJ193+SUMIFS('บันทึกของเข้า-ออก'!$J:$J,'บันทึกของเข้า-ออก'!$B:$B,สรุป!$C193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3" s="9">
        <f>AK193+SUMIFS('บันทึกของเข้า-ออก'!$J:$J,'บันทึกของเข้า-ออก'!$B:$B,สรุป!$C193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3" s="26"/>
      <c r="T193" s="33"/>
      <c r="U193" s="34"/>
      <c r="V193" s="25" t="str">
        <f t="shared" si="19"/>
        <v>ตู้เย็น</v>
      </c>
      <c r="W193" s="79">
        <v>1</v>
      </c>
      <c r="X193" s="35" t="s">
        <v>61</v>
      </c>
      <c r="Y193" s="26">
        <v>0</v>
      </c>
      <c r="Z193" s="26">
        <v>0</v>
      </c>
      <c r="AA193" s="26">
        <v>0</v>
      </c>
      <c r="AB193" s="26">
        <v>0</v>
      </c>
      <c r="AC193" s="26">
        <v>0</v>
      </c>
      <c r="AD193" s="26">
        <v>0</v>
      </c>
      <c r="AE193" s="26">
        <v>0</v>
      </c>
      <c r="AF193" s="26">
        <v>1</v>
      </c>
      <c r="AG193" s="26">
        <v>0</v>
      </c>
      <c r="AH193" s="26">
        <v>0</v>
      </c>
      <c r="AI193" s="26">
        <v>0</v>
      </c>
      <c r="AJ193" s="26">
        <v>0</v>
      </c>
      <c r="AK193" s="26">
        <v>0</v>
      </c>
      <c r="AL193" s="34"/>
    </row>
    <row r="194" spans="2:38" x14ac:dyDescent="0.3">
      <c r="B194" s="43" t="s">
        <v>131</v>
      </c>
      <c r="C194" s="6" t="s">
        <v>271</v>
      </c>
      <c r="D194" s="44">
        <f t="shared" si="18"/>
        <v>2</v>
      </c>
      <c r="E194" s="6" t="s">
        <v>58</v>
      </c>
      <c r="F194" s="9">
        <f>Y194+SUMIFS('บันทึกของเข้า-ออก'!$J:$J,'บันทึกของเข้า-ออก'!$B:$B,สรุป!$C194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4" s="9">
        <f>Z194+SUMIFS('บันทึกของเข้า-ออก'!$J:$J,'บันทึกของเข้า-ออก'!$B:$B,สรุป!$C194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4" s="9">
        <f>AA194+SUMIFS('บันทึกของเข้า-ออก'!$J:$J,'บันทึกของเข้า-ออก'!$B:$B,สรุป!$C194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4" s="9">
        <f>AB194+SUMIFS('บันทึกของเข้า-ออก'!$J:$J,'บันทึกของเข้า-ออก'!$B:$B,สรุป!$C194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4" s="9">
        <f>AC194+SUMIFS('บันทึกของเข้า-ออก'!$J:$J,'บันทึกของเข้า-ออก'!$B:$B,สรุป!$C194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4" s="9">
        <f>AD194+SUMIFS('บันทึกของเข้า-ออก'!$J:$J,'บันทึกของเข้า-ออก'!$B:$B,สรุป!$C194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4" s="9">
        <f>AE194+SUMIFS('บันทึกของเข้า-ออก'!$J:$J,'บันทึกของเข้า-ออก'!$B:$B,สรุป!$C194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4" s="9">
        <f>AF194+SUMIFS('บันทึกของเข้า-ออก'!$J:$J,'บันทึกของเข้า-ออก'!$B:$B,สรุป!$C194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94" s="9">
        <f>AG194+SUMIFS('บันทึกของเข้า-ออก'!$J:$J,'บันทึกของเข้า-ออก'!$B:$B,สรุป!$C194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194" s="9">
        <f>AH194+SUMIFS('บันทึกของเข้า-ออก'!$J:$J,'บันทึกของเข้า-ออก'!$B:$B,สรุป!$C194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194" s="9">
        <f>AI194+SUMIFS('บันทึกของเข้า-ออก'!$J:$J,'บันทึกของเข้า-ออก'!$B:$B,สรุป!$C194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4" s="9">
        <f>AJ194+SUMIFS('บันทึกของเข้า-ออก'!$J:$J,'บันทึกของเข้า-ออก'!$B:$B,สรุป!$C194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4" s="9">
        <f>AK194+SUMIFS('บันทึกของเข้า-ออก'!$J:$J,'บันทึกของเข้า-ออก'!$B:$B,สรุป!$C194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4" s="26"/>
      <c r="T194" s="33"/>
      <c r="U194" s="34"/>
      <c r="V194" s="25" t="str">
        <f t="shared" si="19"/>
        <v>ร่มเซอร์เวย์</v>
      </c>
      <c r="W194" s="79">
        <v>2</v>
      </c>
      <c r="X194" s="35" t="s">
        <v>58</v>
      </c>
      <c r="Y194" s="26">
        <v>0</v>
      </c>
      <c r="Z194" s="26">
        <v>0</v>
      </c>
      <c r="AA194" s="26">
        <v>0</v>
      </c>
      <c r="AB194" s="26">
        <v>0</v>
      </c>
      <c r="AC194" s="26">
        <v>0</v>
      </c>
      <c r="AD194" s="26">
        <v>0</v>
      </c>
      <c r="AE194" s="26">
        <v>0</v>
      </c>
      <c r="AF194" s="26">
        <v>0</v>
      </c>
      <c r="AG194" s="26">
        <v>1</v>
      </c>
      <c r="AH194" s="26">
        <v>1</v>
      </c>
      <c r="AI194" s="26">
        <v>0</v>
      </c>
      <c r="AJ194" s="26">
        <v>0</v>
      </c>
      <c r="AK194" s="26">
        <v>0</v>
      </c>
      <c r="AL194" s="34"/>
    </row>
    <row r="195" spans="2:38" x14ac:dyDescent="0.3">
      <c r="B195" s="43" t="s">
        <v>131</v>
      </c>
      <c r="C195" s="6" t="s">
        <v>281</v>
      </c>
      <c r="D195" s="44">
        <f t="shared" si="18"/>
        <v>4</v>
      </c>
      <c r="E195" s="6" t="s">
        <v>60</v>
      </c>
      <c r="F195" s="9">
        <f>Y195+SUMIFS('บันทึกของเข้า-ออก'!$J:$J,'บันทึกของเข้า-ออก'!$B:$B,สรุป!$C195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5" s="9">
        <f>Z195+SUMIFS('บันทึกของเข้า-ออก'!$J:$J,'บันทึกของเข้า-ออก'!$B:$B,สรุป!$C195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5" s="9">
        <f>AA195+SUMIFS('บันทึกของเข้า-ออก'!$J:$J,'บันทึกของเข้า-ออก'!$B:$B,สรุป!$C195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5" s="9">
        <f>AB195+SUMIFS('บันทึกของเข้า-ออก'!$J:$J,'บันทึกของเข้า-ออก'!$B:$B,สรุป!$C195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5" s="9">
        <f>AC195+SUMIFS('บันทึกของเข้า-ออก'!$J:$J,'บันทึกของเข้า-ออก'!$B:$B,สรุป!$C195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5" s="9">
        <f>AD195+SUMIFS('บันทึกของเข้า-ออก'!$J:$J,'บันทึกของเข้า-ออก'!$B:$B,สรุป!$C195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5" s="9">
        <f>AE195+SUMIFS('บันทึกของเข้า-ออก'!$J:$J,'บันทึกของเข้า-ออก'!$B:$B,สรุป!$C195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5" s="9">
        <f>AF195+SUMIFS('บันทึกของเข้า-ออก'!$J:$J,'บันทึกของเข้า-ออก'!$B:$B,สรุป!$C195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M$5,'บันทึกของเข้า-ออก'!$D:$D,"&gt;="&amp;สรุป!$F$2,'บันทึกของเข้า-ออก'!$D:$D,"&lt;="&amp;สรุป!$G$2)</f>
        <v>2</v>
      </c>
      <c r="N195" s="9">
        <f>AG195+SUMIFS('บันทึกของเข้า-ออก'!$J:$J,'บันทึกของเข้า-ออก'!$B:$B,สรุป!$C195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5" s="9">
        <f>AH195+SUMIFS('บันทึกของเข้า-ออก'!$J:$J,'บันทึกของเข้า-ออก'!$B:$B,สรุป!$C195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195" s="9">
        <f>AI195+SUMIFS('บันทึกของเข้า-ออก'!$J:$J,'บันทึกของเข้า-ออก'!$B:$B,สรุป!$C195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5" s="9">
        <f>AJ195+SUMIFS('บันทึกของเข้า-ออก'!$J:$J,'บันทึกของเข้า-ออก'!$B:$B,สรุป!$C195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5" s="9">
        <f>AK195+SUMIFS('บันทึกของเข้า-ออก'!$J:$J,'บันทึกของเข้า-ออก'!$B:$B,สรุป!$C195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5" s="26"/>
      <c r="T195" s="33"/>
      <c r="U195" s="34"/>
      <c r="V195" s="25" t="str">
        <f t="shared" si="19"/>
        <v>โถนั่งยอง</v>
      </c>
      <c r="W195" s="79">
        <v>4</v>
      </c>
      <c r="X195" s="35" t="s">
        <v>60</v>
      </c>
      <c r="Y195" s="26">
        <v>0</v>
      </c>
      <c r="Z195" s="26">
        <v>0</v>
      </c>
      <c r="AA195" s="26">
        <v>0</v>
      </c>
      <c r="AB195" s="26">
        <v>0</v>
      </c>
      <c r="AC195" s="26"/>
      <c r="AD195" s="26">
        <v>0</v>
      </c>
      <c r="AE195" s="26">
        <v>0</v>
      </c>
      <c r="AF195" s="26">
        <v>2</v>
      </c>
      <c r="AG195" s="26">
        <v>0</v>
      </c>
      <c r="AH195" s="26">
        <v>2</v>
      </c>
      <c r="AI195" s="26">
        <v>0</v>
      </c>
      <c r="AJ195" s="26">
        <v>0</v>
      </c>
      <c r="AK195" s="26">
        <v>0</v>
      </c>
      <c r="AL195" s="34"/>
    </row>
    <row r="196" spans="2:38" x14ac:dyDescent="0.3">
      <c r="B196" s="43" t="s">
        <v>131</v>
      </c>
      <c r="C196" s="6" t="s">
        <v>84</v>
      </c>
      <c r="D196" s="44">
        <f t="shared" si="18"/>
        <v>6</v>
      </c>
      <c r="E196" s="6" t="s">
        <v>60</v>
      </c>
      <c r="F196" s="9">
        <f>Y196+SUMIFS('บันทึกของเข้า-ออก'!$J:$J,'บันทึกของเข้า-ออก'!$B:$B,สรุป!$C196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6" s="9">
        <f>Z196+SUMIFS('บันทึกของเข้า-ออก'!$J:$J,'บันทึกของเข้า-ออก'!$B:$B,สรุป!$C196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6" s="9">
        <f>AA196+SUMIFS('บันทึกของเข้า-ออก'!$J:$J,'บันทึกของเข้า-ออก'!$B:$B,สรุป!$C196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6" s="9">
        <f>AB196+SUMIFS('บันทึกของเข้า-ออก'!$J:$J,'บันทึกของเข้า-ออก'!$B:$B,สรุป!$C196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6" s="9">
        <f>AC196+SUMIFS('บันทึกของเข้า-ออก'!$J:$J,'บันทึกของเข้า-ออก'!$B:$B,สรุป!$C196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J$5,'บันทึกของเข้า-ออก'!$D:$D,"&gt;="&amp;สรุป!$F$2,'บันทึกของเข้า-ออก'!$D:$D,"&lt;="&amp;สรุป!$G$2)</f>
        <v>2</v>
      </c>
      <c r="K196" s="9">
        <f>AD196+SUMIFS('บันทึกของเข้า-ออก'!$J:$J,'บันทึกของเข้า-ออก'!$B:$B,สรุป!$C196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6" s="9">
        <f>AE196+SUMIFS('บันทึกของเข้า-ออก'!$J:$J,'บันทึกของเข้า-ออก'!$B:$B,สรุป!$C196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6" s="9">
        <f>AF196+SUMIFS('บันทึกของเข้า-ออก'!$J:$J,'บันทึกของเข้า-ออก'!$B:$B,สรุป!$C196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M$5,'บันทึกของเข้า-ออก'!$D:$D,"&gt;="&amp;สรุป!$F$2,'บันทึกของเข้า-ออก'!$D:$D,"&lt;="&amp;สรุป!$G$2)</f>
        <v>2</v>
      </c>
      <c r="N196" s="9">
        <f>AG196+SUMIFS('บันทึกของเข้า-ออก'!$J:$J,'บันทึกของเข้า-ออก'!$B:$B,สรุป!$C196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6" s="9">
        <f>AH196+SUMIFS('บันทึกของเข้า-ออก'!$J:$J,'บันทึกของเข้า-ออก'!$B:$B,สรุป!$C196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196" s="9">
        <f>AI196+SUMIFS('บันทึกของเข้า-ออก'!$J:$J,'บันทึกของเข้า-ออก'!$B:$B,สรุป!$C196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6" s="9">
        <f>AJ196+SUMIFS('บันทึกของเข้า-ออก'!$J:$J,'บันทึกของเข้า-ออก'!$B:$B,สรุป!$C196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6" s="9">
        <f>AK196+SUMIFS('บันทึกของเข้า-ออก'!$J:$J,'บันทึกของเข้า-ออก'!$B:$B,สรุป!$C196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6" s="26"/>
      <c r="T196" s="33"/>
      <c r="U196" s="34"/>
      <c r="V196" s="25" t="str">
        <f t="shared" si="19"/>
        <v>ชักโครก</v>
      </c>
      <c r="W196" s="79">
        <v>6</v>
      </c>
      <c r="X196" s="35" t="s">
        <v>60</v>
      </c>
      <c r="Y196" s="26">
        <v>0</v>
      </c>
      <c r="Z196" s="26">
        <v>0</v>
      </c>
      <c r="AA196" s="26">
        <v>0</v>
      </c>
      <c r="AB196" s="26">
        <v>0</v>
      </c>
      <c r="AC196" s="26">
        <v>2</v>
      </c>
      <c r="AD196" s="26">
        <v>0</v>
      </c>
      <c r="AE196" s="26">
        <v>0</v>
      </c>
      <c r="AF196" s="26">
        <v>2</v>
      </c>
      <c r="AG196" s="26">
        <v>0</v>
      </c>
      <c r="AH196" s="26">
        <v>2</v>
      </c>
      <c r="AI196" s="26">
        <v>0</v>
      </c>
      <c r="AJ196" s="26">
        <v>0</v>
      </c>
      <c r="AK196" s="26">
        <v>0</v>
      </c>
      <c r="AL196" s="34"/>
    </row>
    <row r="197" spans="2:38" x14ac:dyDescent="0.3">
      <c r="B197" s="43" t="s">
        <v>131</v>
      </c>
      <c r="C197" s="6" t="s">
        <v>86</v>
      </c>
      <c r="D197" s="44">
        <f t="shared" si="18"/>
        <v>8</v>
      </c>
      <c r="E197" s="6" t="s">
        <v>85</v>
      </c>
      <c r="F197" s="9">
        <f>Y197+SUMIFS('บันทึกของเข้า-ออก'!$J:$J,'บันทึกของเข้า-ออก'!$B:$B,สรุป!$C197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7" s="9">
        <f>Z197+SUMIFS('บันทึกของเข้า-ออก'!$J:$J,'บันทึกของเข้า-ออก'!$B:$B,สรุป!$C197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7" s="9">
        <f>AA197+SUMIFS('บันทึกของเข้า-ออก'!$J:$J,'บันทึกของเข้า-ออก'!$B:$B,สรุป!$C197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7" s="9">
        <f>AB197+SUMIFS('บันทึกของเข้า-ออก'!$J:$J,'บันทึกของเข้า-ออก'!$B:$B,สรุป!$C197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7" s="9">
        <f>AC197+SUMIFS('บันทึกของเข้า-ออก'!$J:$J,'บันทึกของเข้า-ออก'!$B:$B,สรุป!$C197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J$5,'บันทึกของเข้า-ออก'!$D:$D,"&gt;="&amp;สรุป!$F$2,'บันทึกของเข้า-ออก'!$D:$D,"&lt;="&amp;สรุป!$G$2)</f>
        <v>3</v>
      </c>
      <c r="K197" s="9">
        <f>AD197+SUMIFS('บันทึกของเข้า-ออก'!$J:$J,'บันทึกของเข้า-ออก'!$B:$B,สรุป!$C197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7" s="9">
        <f>AE197+SUMIFS('บันทึกของเข้า-ออก'!$J:$J,'บันทึกของเข้า-ออก'!$B:$B,สรุป!$C197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7" s="9">
        <f>AF197+SUMIFS('บันทึกของเข้า-ออก'!$J:$J,'บันทึกของเข้า-ออก'!$B:$B,สรุป!$C197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M$5,'บันทึกของเข้า-ออก'!$D:$D,"&gt;="&amp;สรุป!$F$2,'บันทึกของเข้า-ออก'!$D:$D,"&lt;="&amp;สรุป!$G$2)</f>
        <v>3</v>
      </c>
      <c r="N197" s="9">
        <f>AG197+SUMIFS('บันทึกของเข้า-ออก'!$J:$J,'บันทึกของเข้า-ออก'!$B:$B,สรุป!$C197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7" s="9">
        <f>AH197+SUMIFS('บันทึกของเข้า-ออก'!$J:$J,'บันทึกของเข้า-ออก'!$B:$B,สรุป!$C197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197" s="9">
        <f>AI197+SUMIFS('บันทึกของเข้า-ออก'!$J:$J,'บันทึกของเข้า-ออก'!$B:$B,สรุป!$C197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7" s="9">
        <f>AJ197+SUMIFS('บันทึกของเข้า-ออก'!$J:$J,'บันทึกของเข้า-ออก'!$B:$B,สรุป!$C197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7" s="9">
        <f>AK197+SUMIFS('บันทึกของเข้า-ออก'!$J:$J,'บันทึกของเข้า-ออก'!$B:$B,สรุป!$C197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7" s="26"/>
      <c r="T197" s="33"/>
      <c r="U197" s="34"/>
      <c r="V197" s="25" t="str">
        <f t="shared" si="19"/>
        <v>ผ้าใบคลุมปูน 4*6 เมตร</v>
      </c>
      <c r="W197" s="79">
        <v>8</v>
      </c>
      <c r="X197" s="35" t="s">
        <v>85</v>
      </c>
      <c r="Y197" s="26">
        <v>0</v>
      </c>
      <c r="Z197" s="26">
        <v>0</v>
      </c>
      <c r="AA197" s="26">
        <v>0</v>
      </c>
      <c r="AB197" s="26">
        <v>0</v>
      </c>
      <c r="AC197" s="26">
        <v>3</v>
      </c>
      <c r="AD197" s="26">
        <v>0</v>
      </c>
      <c r="AE197" s="26">
        <v>0</v>
      </c>
      <c r="AF197" s="26">
        <v>3</v>
      </c>
      <c r="AG197" s="26">
        <v>0</v>
      </c>
      <c r="AH197" s="26">
        <v>2</v>
      </c>
      <c r="AI197" s="26">
        <v>0</v>
      </c>
      <c r="AJ197" s="26">
        <v>0</v>
      </c>
      <c r="AK197" s="26">
        <v>0</v>
      </c>
      <c r="AL197" s="34"/>
    </row>
    <row r="198" spans="2:38" x14ac:dyDescent="0.3">
      <c r="B198" s="43" t="s">
        <v>131</v>
      </c>
      <c r="C198" s="6"/>
      <c r="D198" s="44">
        <f t="shared" si="18"/>
        <v>0</v>
      </c>
      <c r="E198" s="6" t="s">
        <v>57</v>
      </c>
      <c r="F198" s="9">
        <f>Y198+SUMIFS('บันทึกของเข้า-ออก'!$J:$J,'บันทึกของเข้า-ออก'!$B:$B,สรุป!$C198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8" s="9">
        <f>Z198+SUMIFS('บันทึกของเข้า-ออก'!$J:$J,'บันทึกของเข้า-ออก'!$B:$B,สรุป!$C198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8" s="9">
        <f>AA198+SUMIFS('บันทึกของเข้า-ออก'!$J:$J,'บันทึกของเข้า-ออก'!$B:$B,สรุป!$C198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8" s="9">
        <f>AB198+SUMIFS('บันทึกของเข้า-ออก'!$J:$J,'บันทึกของเข้า-ออก'!$B:$B,สรุป!$C198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8" s="9">
        <f>AC198+SUMIFS('บันทึกของเข้า-ออก'!$J:$J,'บันทึกของเข้า-ออก'!$B:$B,สรุป!$C198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8" s="9">
        <f>AD198+SUMIFS('บันทึกของเข้า-ออก'!$J:$J,'บันทึกของเข้า-ออก'!$B:$B,สรุป!$C198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8" s="9">
        <f>AE198+SUMIFS('บันทึกของเข้า-ออก'!$J:$J,'บันทึกของเข้า-ออก'!$B:$B,สรุป!$C198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8" s="9">
        <f>AF198+SUMIFS('บันทึกของเข้า-ออก'!$J:$J,'บันทึกของเข้า-ออก'!$B:$B,สรุป!$C198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98" s="9">
        <f>AG198+SUMIFS('บันทึกของเข้า-ออก'!$J:$J,'บันทึกของเข้า-ออก'!$B:$B,สรุป!$C198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8" s="9">
        <f>AH198+SUMIFS('บันทึกของเข้า-ออก'!$J:$J,'บันทึกของเข้า-ออก'!$B:$B,สรุป!$C198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8" s="9">
        <f>AI198+SUMIFS('บันทึกของเข้า-ออก'!$J:$J,'บันทึกของเข้า-ออก'!$B:$B,สรุป!$C198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8" s="9">
        <f>AJ198+SUMIFS('บันทึกของเข้า-ออก'!$J:$J,'บันทึกของเข้า-ออก'!$B:$B,สรุป!$C198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8" s="9">
        <f>AK198+SUMIFS('บันทึกของเข้า-ออก'!$J:$J,'บันทึกของเข้า-ออก'!$B:$B,สรุป!$C198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8" s="26"/>
      <c r="T198" s="33"/>
      <c r="U198" s="34"/>
      <c r="V198" s="25">
        <f t="shared" si="19"/>
        <v>0</v>
      </c>
      <c r="W198" s="44">
        <v>1</v>
      </c>
      <c r="X198" s="35" t="s">
        <v>57</v>
      </c>
      <c r="Y198" s="26">
        <v>0</v>
      </c>
      <c r="Z198" s="26">
        <v>0</v>
      </c>
      <c r="AA198" s="26">
        <v>0</v>
      </c>
      <c r="AB198" s="26">
        <v>0</v>
      </c>
      <c r="AC198" s="26">
        <v>0</v>
      </c>
      <c r="AD198" s="26">
        <v>0</v>
      </c>
      <c r="AE198" s="26">
        <v>0</v>
      </c>
      <c r="AF198" s="26">
        <v>0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34"/>
    </row>
    <row r="199" spans="2:38" x14ac:dyDescent="0.3">
      <c r="B199" s="43" t="s">
        <v>131</v>
      </c>
      <c r="C199" s="6" t="s">
        <v>195</v>
      </c>
      <c r="D199" s="44">
        <f t="shared" si="18"/>
        <v>0</v>
      </c>
      <c r="E199" s="6" t="s">
        <v>56</v>
      </c>
      <c r="F199" s="9">
        <f>Y199+SUMIFS('บันทึกของเข้า-ออก'!$J:$J,'บันทึกของเข้า-ออก'!$B:$B,สรุป!$C199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199" s="9">
        <f>Z199+SUMIFS('บันทึกของเข้า-ออก'!$J:$J,'บันทึกของเข้า-ออก'!$B:$B,สรุป!$C199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199" s="9">
        <f>AA199+SUMIFS('บันทึกของเข้า-ออก'!$J:$J,'บันทึกของเข้า-ออก'!$B:$B,สรุป!$C199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199" s="9">
        <f>AB199+SUMIFS('บันทึกของเข้า-ออก'!$J:$J,'บันทึกของเข้า-ออก'!$B:$B,สรุป!$C199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199" s="9">
        <f>AC199+SUMIFS('บันทึกของเข้า-ออก'!$J:$J,'บันทึกของเข้า-ออก'!$B:$B,สรุป!$C199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199" s="9">
        <f>AD199+SUMIFS('บันทึกของเข้า-ออก'!$J:$J,'บันทึกของเข้า-ออก'!$B:$B,สรุป!$C199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199" s="9">
        <f>AE199+SUMIFS('บันทึกของเข้า-ออก'!$J:$J,'บันทึกของเข้า-ออก'!$B:$B,สรุป!$C199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199" s="9">
        <f>AF199+SUMIFS('บันทึกของเข้า-ออก'!$J:$J,'บันทึกของเข้า-ออก'!$B:$B,สรุป!$C199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199" s="9">
        <f>AG199+SUMIFS('บันทึกของเข้า-ออก'!$J:$J,'บันทึกของเข้า-ออก'!$B:$B,สรุป!$C199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199" s="9">
        <f>AH199+SUMIFS('บันทึกของเข้า-ออก'!$J:$J,'บันทึกของเข้า-ออก'!$B:$B,สรุป!$C199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199" s="9">
        <f>AI199+SUMIFS('บันทึกของเข้า-ออก'!$J:$J,'บันทึกของเข้า-ออก'!$B:$B,สรุป!$C199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199" s="9">
        <f>AJ199+SUMIFS('บันทึกของเข้า-ออก'!$J:$J,'บันทึกของเข้า-ออก'!$B:$B,สรุป!$C199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199" s="9">
        <f>AK199+SUMIFS('บันทึกของเข้า-ออก'!$J:$J,'บันทึกของเข้า-ออก'!$B:$B,สรุป!$C199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199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199" s="26"/>
      <c r="T199" s="33"/>
      <c r="U199" s="34"/>
      <c r="V199" s="25" t="str">
        <f t="shared" si="19"/>
        <v>จิ๊กป้ายโชว์รูม</v>
      </c>
      <c r="W199" s="81">
        <v>1</v>
      </c>
      <c r="X199" s="35" t="s">
        <v>56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0</v>
      </c>
      <c r="AH199" s="26">
        <v>0</v>
      </c>
      <c r="AI199" s="26">
        <v>0</v>
      </c>
      <c r="AJ199" s="26">
        <v>0</v>
      </c>
      <c r="AK199" s="26">
        <v>0</v>
      </c>
      <c r="AL199" s="34"/>
    </row>
    <row r="200" spans="2:38" x14ac:dyDescent="0.3">
      <c r="B200" s="43" t="s">
        <v>131</v>
      </c>
      <c r="C200" s="6" t="s">
        <v>254</v>
      </c>
      <c r="D200" s="44">
        <f t="shared" si="18"/>
        <v>0</v>
      </c>
      <c r="E200" s="6" t="s">
        <v>56</v>
      </c>
      <c r="F200" s="9">
        <f>Y200+SUMIFS('บันทึกของเข้า-ออก'!$J:$J,'บันทึกของเข้า-ออก'!$B:$B,สรุป!$C200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0" s="9">
        <f>Z200+SUMIFS('บันทึกของเข้า-ออก'!$J:$J,'บันทึกของเข้า-ออก'!$B:$B,สรุป!$C200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0" s="9">
        <f>AA200+SUMIFS('บันทึกของเข้า-ออก'!$J:$J,'บันทึกของเข้า-ออก'!$B:$B,สรุป!$C200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0" s="9">
        <f>AB200+SUMIFS('บันทึกของเข้า-ออก'!$J:$J,'บันทึกของเข้า-ออก'!$B:$B,สรุป!$C200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0" s="9">
        <f>AC200+SUMIFS('บันทึกของเข้า-ออก'!$J:$J,'บันทึกของเข้า-ออก'!$B:$B,สรุป!$C200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0" s="9">
        <f>AD200+SUMIFS('บันทึกของเข้า-ออก'!$J:$J,'บันทึกของเข้า-ออก'!$B:$B,สรุป!$C200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0" s="9">
        <f>AE200+SUMIFS('บันทึกของเข้า-ออก'!$J:$J,'บันทึกของเข้า-ออก'!$B:$B,สรุป!$C200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0" s="9">
        <f>AF200+SUMIFS('บันทึกของเข้า-ออก'!$J:$J,'บันทึกของเข้า-ออก'!$B:$B,สรุป!$C200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0" s="9">
        <f>AG200+SUMIFS('บันทึกของเข้า-ออก'!$J:$J,'บันทึกของเข้า-ออก'!$B:$B,สรุป!$C200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0" s="9">
        <f>AH200+SUMIFS('บันทึกของเข้า-ออก'!$J:$J,'บันทึกของเข้า-ออก'!$B:$B,สรุป!$C200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0" s="9">
        <f>AI200+SUMIFS('บันทึกของเข้า-ออก'!$J:$J,'บันทึกของเข้า-ออก'!$B:$B,สรุป!$C200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0" s="9">
        <f>AJ200+SUMIFS('บันทึกของเข้า-ออก'!$J:$J,'บันทึกของเข้า-ออก'!$B:$B,สรุป!$C200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0" s="9">
        <f>AK200+SUMIFS('บันทึกของเข้า-ออก'!$J:$J,'บันทึกของเข้า-ออก'!$B:$B,สรุป!$C200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0" s="26"/>
      <c r="T200" s="33"/>
      <c r="U200" s="34"/>
      <c r="V200" s="25" t="str">
        <f t="shared" si="19"/>
        <v>พุกเหล็ก3/8</v>
      </c>
      <c r="W200" s="81">
        <v>125</v>
      </c>
      <c r="X200" s="35" t="s">
        <v>56</v>
      </c>
      <c r="Y200" s="26">
        <v>0</v>
      </c>
      <c r="Z200" s="26">
        <v>0</v>
      </c>
      <c r="AA200" s="26">
        <v>0</v>
      </c>
      <c r="AB200" s="26">
        <v>0</v>
      </c>
      <c r="AC200" s="26">
        <v>0</v>
      </c>
      <c r="AD200" s="26">
        <v>0</v>
      </c>
      <c r="AE200" s="26">
        <v>0</v>
      </c>
      <c r="AF200" s="26">
        <v>0</v>
      </c>
      <c r="AG200" s="26">
        <v>0</v>
      </c>
      <c r="AH200" s="26">
        <v>0</v>
      </c>
      <c r="AI200" s="26">
        <v>0</v>
      </c>
      <c r="AJ200" s="26">
        <v>0</v>
      </c>
      <c r="AK200" s="26">
        <v>0</v>
      </c>
      <c r="AL200" s="34"/>
    </row>
    <row r="201" spans="2:38" x14ac:dyDescent="0.3">
      <c r="B201" s="43" t="s">
        <v>131</v>
      </c>
      <c r="C201" s="6" t="s">
        <v>255</v>
      </c>
      <c r="D201" s="44">
        <f t="shared" si="18"/>
        <v>0</v>
      </c>
      <c r="E201" s="6" t="s">
        <v>56</v>
      </c>
      <c r="F201" s="9">
        <f>Y201+SUMIFS('บันทึกของเข้า-ออก'!$J:$J,'บันทึกของเข้า-ออก'!$B:$B,สรุป!$C201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1" s="9">
        <f>Z201+SUMIFS('บันทึกของเข้า-ออก'!$J:$J,'บันทึกของเข้า-ออก'!$B:$B,สรุป!$C201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1" s="9">
        <f>AA201+SUMIFS('บันทึกของเข้า-ออก'!$J:$J,'บันทึกของเข้า-ออก'!$B:$B,สรุป!$C201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1" s="9">
        <f>AB201+SUMIFS('บันทึกของเข้า-ออก'!$J:$J,'บันทึกของเข้า-ออก'!$B:$B,สรุป!$C201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1" s="9">
        <f>AC201+SUMIFS('บันทึกของเข้า-ออก'!$J:$J,'บันทึกของเข้า-ออก'!$B:$B,สรุป!$C201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1" s="9">
        <f>AD201+SUMIFS('บันทึกของเข้า-ออก'!$J:$J,'บันทึกของเข้า-ออก'!$B:$B,สรุป!$C201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1" s="9">
        <f>AE201+SUMIFS('บันทึกของเข้า-ออก'!$J:$J,'บันทึกของเข้า-ออก'!$B:$B,สรุป!$C201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1" s="9">
        <f>AF201+SUMIFS('บันทึกของเข้า-ออก'!$J:$J,'บันทึกของเข้า-ออก'!$B:$B,สรุป!$C201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1" s="9">
        <f>AG201+SUMIFS('บันทึกของเข้า-ออก'!$J:$J,'บันทึกของเข้า-ออก'!$B:$B,สรุป!$C201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1" s="9">
        <f>AH201+SUMIFS('บันทึกของเข้า-ออก'!$J:$J,'บันทึกของเข้า-ออก'!$B:$B,สรุป!$C201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1" s="9">
        <f>AI201+SUMIFS('บันทึกของเข้า-ออก'!$J:$J,'บันทึกของเข้า-ออก'!$B:$B,สรุป!$C201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1" s="9">
        <f>AJ201+SUMIFS('บันทึกของเข้า-ออก'!$J:$J,'บันทึกของเข้า-ออก'!$B:$B,สรุป!$C201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1" s="9">
        <f>AK201+SUMIFS('บันทึกของเข้า-ออก'!$J:$J,'บันทึกของเข้า-ออก'!$B:$B,สรุป!$C201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1" s="26"/>
      <c r="T201" s="33"/>
      <c r="U201" s="34"/>
      <c r="V201" s="25" t="str">
        <f t="shared" si="19"/>
        <v>พุกเหล็ก5/8</v>
      </c>
      <c r="W201" s="81">
        <v>30</v>
      </c>
      <c r="X201" s="35" t="s">
        <v>56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  <c r="AD201" s="26">
        <v>0</v>
      </c>
      <c r="AE201" s="26">
        <v>0</v>
      </c>
      <c r="AF201" s="26">
        <v>0</v>
      </c>
      <c r="AG201" s="26">
        <v>0</v>
      </c>
      <c r="AH201" s="26">
        <v>0</v>
      </c>
      <c r="AI201" s="26">
        <v>0</v>
      </c>
      <c r="AJ201" s="26">
        <v>0</v>
      </c>
      <c r="AK201" s="26">
        <v>0</v>
      </c>
      <c r="AL201" s="34"/>
    </row>
    <row r="202" spans="2:38" x14ac:dyDescent="0.3">
      <c r="B202" s="43" t="s">
        <v>131</v>
      </c>
      <c r="C202" s="6" t="s">
        <v>265</v>
      </c>
      <c r="D202" s="44">
        <f t="shared" si="18"/>
        <v>0</v>
      </c>
      <c r="E202" s="6" t="s">
        <v>58</v>
      </c>
      <c r="F202" s="9">
        <f>Y202+SUMIFS('บันทึกของเข้า-ออก'!$J:$J,'บันทึกของเข้า-ออก'!$B:$B,สรุป!$C202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2" s="9">
        <f>Z202+SUMIFS('บันทึกของเข้า-ออก'!$J:$J,'บันทึกของเข้า-ออก'!$B:$B,สรุป!$C202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2" s="9">
        <f>AA202+SUMIFS('บันทึกของเข้า-ออก'!$J:$J,'บันทึกของเข้า-ออก'!$B:$B,สรุป!$C202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2" s="9">
        <f>AB202+SUMIFS('บันทึกของเข้า-ออก'!$J:$J,'บันทึกของเข้า-ออก'!$B:$B,สรุป!$C202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2" s="9">
        <f>AC202+SUMIFS('บันทึกของเข้า-ออก'!$J:$J,'บันทึกของเข้า-ออก'!$B:$B,สรุป!$C202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2" s="9">
        <f>AD202+SUMIFS('บันทึกของเข้า-ออก'!$J:$J,'บันทึกของเข้า-ออก'!$B:$B,สรุป!$C202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2" s="9">
        <f>AE202+SUMIFS('บันทึกของเข้า-ออก'!$J:$J,'บันทึกของเข้า-ออก'!$B:$B,สรุป!$C202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2" s="9">
        <f>AF202+SUMIFS('บันทึกของเข้า-ออก'!$J:$J,'บันทึกของเข้า-ออก'!$B:$B,สรุป!$C202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2" s="9">
        <f>AG202+SUMIFS('บันทึกของเข้า-ออก'!$J:$J,'บันทึกของเข้า-ออก'!$B:$B,สรุป!$C202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2" s="9">
        <f>AH202+SUMIFS('บันทึกของเข้า-ออก'!$J:$J,'บันทึกของเข้า-ออก'!$B:$B,สรุป!$C202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2" s="9">
        <f>AI202+SUMIFS('บันทึกของเข้า-ออก'!$J:$J,'บันทึกของเข้า-ออก'!$B:$B,สรุป!$C202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2" s="9">
        <f>AJ202+SUMIFS('บันทึกของเข้า-ออก'!$J:$J,'บันทึกของเข้า-ออก'!$B:$B,สรุป!$C202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2" s="9">
        <f>AK202+SUMIFS('บันทึกของเข้า-ออก'!$J:$J,'บันทึกของเข้า-ออก'!$B:$B,สรุป!$C202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2" s="26"/>
      <c r="T202" s="33"/>
      <c r="U202" s="34"/>
      <c r="V202" s="25" t="str">
        <f t="shared" si="19"/>
        <v>กรวยกั้นพื้นที่</v>
      </c>
      <c r="W202" s="81">
        <v>3</v>
      </c>
      <c r="X202" s="35" t="s">
        <v>58</v>
      </c>
      <c r="Y202" s="26">
        <v>0</v>
      </c>
      <c r="Z202" s="26">
        <v>0</v>
      </c>
      <c r="AA202" s="26">
        <v>0</v>
      </c>
      <c r="AB202" s="26">
        <v>0</v>
      </c>
      <c r="AC202" s="26">
        <v>0</v>
      </c>
      <c r="AD202" s="26">
        <v>0</v>
      </c>
      <c r="AE202" s="26">
        <v>0</v>
      </c>
      <c r="AF202" s="26">
        <v>0</v>
      </c>
      <c r="AG202" s="26">
        <v>0</v>
      </c>
      <c r="AH202" s="26">
        <v>0</v>
      </c>
      <c r="AI202" s="26">
        <v>0</v>
      </c>
      <c r="AJ202" s="26">
        <v>0</v>
      </c>
      <c r="AK202" s="26">
        <v>0</v>
      </c>
      <c r="AL202" s="34"/>
    </row>
    <row r="203" spans="2:38" x14ac:dyDescent="0.3">
      <c r="B203" s="43" t="s">
        <v>131</v>
      </c>
      <c r="C203" s="6" t="s">
        <v>259</v>
      </c>
      <c r="D203" s="44">
        <f t="shared" si="18"/>
        <v>0</v>
      </c>
      <c r="E203" s="6" t="s">
        <v>80</v>
      </c>
      <c r="F203" s="9">
        <f>Y203+SUMIFS('บันทึกของเข้า-ออก'!$J:$J,'บันทึกของเข้า-ออก'!$B:$B,สรุป!$C203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3" s="9">
        <f>Z203+SUMIFS('บันทึกของเข้า-ออก'!$J:$J,'บันทึกของเข้า-ออก'!$B:$B,สรุป!$C203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3" s="9">
        <f>AA203+SUMIFS('บันทึกของเข้า-ออก'!$J:$J,'บันทึกของเข้า-ออก'!$B:$B,สรุป!$C203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3" s="9">
        <f>AB203+SUMIFS('บันทึกของเข้า-ออก'!$J:$J,'บันทึกของเข้า-ออก'!$B:$B,สรุป!$C203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3" s="9">
        <f>AC203+SUMIFS('บันทึกของเข้า-ออก'!$J:$J,'บันทึกของเข้า-ออก'!$B:$B,สรุป!$C203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3" s="9">
        <f>AD203+SUMIFS('บันทึกของเข้า-ออก'!$J:$J,'บันทึกของเข้า-ออก'!$B:$B,สรุป!$C203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3" s="9">
        <f>AE203+SUMIFS('บันทึกของเข้า-ออก'!$J:$J,'บันทึกของเข้า-ออก'!$B:$B,สรุป!$C203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3" s="9">
        <f>AF203+SUMIFS('บันทึกของเข้า-ออก'!$J:$J,'บันทึกของเข้า-ออก'!$B:$B,สรุป!$C203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3" s="9">
        <f>AG203+SUMIFS('บันทึกของเข้า-ออก'!$J:$J,'บันทึกของเข้า-ออก'!$B:$B,สรุป!$C203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3" s="9">
        <f>AH203+SUMIFS('บันทึกของเข้า-ออก'!$J:$J,'บันทึกของเข้า-ออก'!$B:$B,สรุป!$C203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3" s="9">
        <f>AI203+SUMIFS('บันทึกของเข้า-ออก'!$J:$J,'บันทึกของเข้า-ออก'!$B:$B,สรุป!$C203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3" s="9">
        <f>AJ203+SUMIFS('บันทึกของเข้า-ออก'!$J:$J,'บันทึกของเข้า-ออก'!$B:$B,สรุป!$C203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3" s="9">
        <f>AK203+SUMIFS('บันทึกของเข้า-ออก'!$J:$J,'บันทึกของเข้า-ออก'!$B:$B,สรุป!$C203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3" s="26"/>
      <c r="T203" s="33"/>
      <c r="U203" s="34"/>
      <c r="V203" s="25" t="str">
        <f t="shared" si="19"/>
        <v>เหล็กวายเมท</v>
      </c>
      <c r="W203" s="81">
        <v>0</v>
      </c>
      <c r="X203" s="35" t="s">
        <v>80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v>0</v>
      </c>
      <c r="AF203" s="26">
        <v>0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34"/>
    </row>
    <row r="204" spans="2:38" x14ac:dyDescent="0.3">
      <c r="B204" s="43" t="s">
        <v>131</v>
      </c>
      <c r="C204" s="6" t="s">
        <v>167</v>
      </c>
      <c r="D204" s="44">
        <f t="shared" si="18"/>
        <v>0</v>
      </c>
      <c r="E204" s="6" t="s">
        <v>80</v>
      </c>
      <c r="F204" s="9">
        <f>Y204+SUMIFS('บันทึกของเข้า-ออก'!$J:$J,'บันทึกของเข้า-ออก'!$B:$B,สรุป!$C204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4" s="9">
        <f>Z204+SUMIFS('บันทึกของเข้า-ออก'!$J:$J,'บันทึกของเข้า-ออก'!$B:$B,สรุป!$C204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4" s="9">
        <f>AA204+SUMIFS('บันทึกของเข้า-ออก'!$J:$J,'บันทึกของเข้า-ออก'!$B:$B,สรุป!$C204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4" s="9">
        <f>AB204+SUMIFS('บันทึกของเข้า-ออก'!$J:$J,'บันทึกของเข้า-ออก'!$B:$B,สรุป!$C204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4" s="9">
        <f>AC204+SUMIFS('บันทึกของเข้า-ออก'!$J:$J,'บันทึกของเข้า-ออก'!$B:$B,สรุป!$C204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4" s="9">
        <f>AD204+SUMIFS('บันทึกของเข้า-ออก'!$J:$J,'บันทึกของเข้า-ออก'!$B:$B,สรุป!$C204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4" s="9">
        <f>AE204+SUMIFS('บันทึกของเข้า-ออก'!$J:$J,'บันทึกของเข้า-ออก'!$B:$B,สรุป!$C204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4" s="9">
        <f>AF204+SUMIFS('บันทึกของเข้า-ออก'!$J:$J,'บันทึกของเข้า-ออก'!$B:$B,สรุป!$C204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4" s="9">
        <f>AG204+SUMIFS('บันทึกของเข้า-ออก'!$J:$J,'บันทึกของเข้า-ออก'!$B:$B,สรุป!$C204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4" s="9">
        <f>AH204+SUMIFS('บันทึกของเข้า-ออก'!$J:$J,'บันทึกของเข้า-ออก'!$B:$B,สรุป!$C204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4" s="9">
        <f>AI204+SUMIFS('บันทึกของเข้า-ออก'!$J:$J,'บันทึกของเข้า-ออก'!$B:$B,สรุป!$C204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4" s="9">
        <f>AJ204+SUMIFS('บันทึกของเข้า-ออก'!$J:$J,'บันทึกของเข้า-ออก'!$B:$B,สรุป!$C204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4" s="9">
        <f>AK204+SUMIFS('บันทึกของเข้า-ออก'!$J:$J,'บันทึกของเข้า-ออก'!$B:$B,สรุป!$C204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4" s="26"/>
      <c r="T204" s="33"/>
      <c r="U204" s="34"/>
      <c r="V204" s="25" t="str">
        <f t="shared" si="19"/>
        <v>กระดาษกาวบิวทิล</v>
      </c>
      <c r="W204" s="81">
        <v>10</v>
      </c>
      <c r="X204" s="35" t="s">
        <v>80</v>
      </c>
      <c r="Y204" s="26">
        <v>0</v>
      </c>
      <c r="Z204" s="26">
        <v>0</v>
      </c>
      <c r="AA204" s="26">
        <v>0</v>
      </c>
      <c r="AB204" s="26">
        <v>0</v>
      </c>
      <c r="AC204" s="26">
        <v>0</v>
      </c>
      <c r="AD204" s="26">
        <v>0</v>
      </c>
      <c r="AE204" s="26">
        <v>0</v>
      </c>
      <c r="AF204" s="26">
        <v>0</v>
      </c>
      <c r="AG204" s="26">
        <v>0</v>
      </c>
      <c r="AH204" s="26">
        <v>0</v>
      </c>
      <c r="AI204" s="26">
        <v>0</v>
      </c>
      <c r="AJ204" s="26">
        <v>0</v>
      </c>
      <c r="AK204" s="26">
        <v>0</v>
      </c>
      <c r="AL204" s="34"/>
    </row>
    <row r="205" spans="2:38" x14ac:dyDescent="0.3">
      <c r="B205" s="43" t="s">
        <v>131</v>
      </c>
      <c r="C205" s="6" t="s">
        <v>235</v>
      </c>
      <c r="D205" s="44">
        <f t="shared" si="18"/>
        <v>0</v>
      </c>
      <c r="E205" s="6" t="s">
        <v>234</v>
      </c>
      <c r="F205" s="9">
        <f>Y205+SUMIFS('บันทึกของเข้า-ออก'!$J:$J,'บันทึกของเข้า-ออก'!$B:$B,สรุป!$C205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5" s="9">
        <f>Z205+SUMIFS('บันทึกของเข้า-ออก'!$J:$J,'บันทึกของเข้า-ออก'!$B:$B,สรุป!$C205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5" s="9">
        <f>AA205+SUMIFS('บันทึกของเข้า-ออก'!$J:$J,'บันทึกของเข้า-ออก'!$B:$B,สรุป!$C205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5" s="9">
        <f>AB205+SUMIFS('บันทึกของเข้า-ออก'!$J:$J,'บันทึกของเข้า-ออก'!$B:$B,สรุป!$C205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5" s="9">
        <f>AC205+SUMIFS('บันทึกของเข้า-ออก'!$J:$J,'บันทึกของเข้า-ออก'!$B:$B,สรุป!$C205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5" s="9">
        <f>AD205+SUMIFS('บันทึกของเข้า-ออก'!$J:$J,'บันทึกของเข้า-ออก'!$B:$B,สรุป!$C205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5" s="9">
        <f>AE205+SUMIFS('บันทึกของเข้า-ออก'!$J:$J,'บันทึกของเข้า-ออก'!$B:$B,สรุป!$C205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5" s="9">
        <f>AF205+SUMIFS('บันทึกของเข้า-ออก'!$J:$J,'บันทึกของเข้า-ออก'!$B:$B,สรุป!$C205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5" s="9">
        <f>AG205+SUMIFS('บันทึกของเข้า-ออก'!$J:$J,'บันทึกของเข้า-ออก'!$B:$B,สรุป!$C205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5" s="9">
        <f>AH205+SUMIFS('บันทึกของเข้า-ออก'!$J:$J,'บันทึกของเข้า-ออก'!$B:$B,สรุป!$C205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5" s="9">
        <f>AI205+SUMIFS('บันทึกของเข้า-ออก'!$J:$J,'บันทึกของเข้า-ออก'!$B:$B,สรุป!$C205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5" s="9">
        <f>AJ205+SUMIFS('บันทึกของเข้า-ออก'!$J:$J,'บันทึกของเข้า-ออก'!$B:$B,สรุป!$C205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5" s="9">
        <f>AK205+SUMIFS('บันทึกของเข้า-ออก'!$J:$J,'บันทึกของเข้า-ออก'!$B:$B,สรุป!$C205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5" s="26"/>
      <c r="T205" s="33"/>
      <c r="U205" s="34"/>
      <c r="V205" s="25" t="str">
        <f t="shared" si="19"/>
        <v>ตะปูตอกไม้ 2 นิ้ว</v>
      </c>
      <c r="W205" s="81">
        <v>0</v>
      </c>
      <c r="X205" s="35" t="s">
        <v>234</v>
      </c>
      <c r="Y205" s="26">
        <v>0</v>
      </c>
      <c r="Z205" s="26">
        <v>0</v>
      </c>
      <c r="AA205" s="26">
        <v>0</v>
      </c>
      <c r="AB205" s="26">
        <v>0</v>
      </c>
      <c r="AC205" s="26">
        <v>0</v>
      </c>
      <c r="AD205" s="26">
        <v>0</v>
      </c>
      <c r="AE205" s="26">
        <v>0</v>
      </c>
      <c r="AF205" s="26">
        <v>0</v>
      </c>
      <c r="AG205" s="26">
        <v>0</v>
      </c>
      <c r="AH205" s="26">
        <v>0</v>
      </c>
      <c r="AI205" s="26">
        <v>0</v>
      </c>
      <c r="AJ205" s="26">
        <v>0</v>
      </c>
      <c r="AK205" s="26">
        <v>0</v>
      </c>
      <c r="AL205" s="34"/>
    </row>
    <row r="206" spans="2:38" x14ac:dyDescent="0.3">
      <c r="B206" s="43" t="s">
        <v>131</v>
      </c>
      <c r="C206" s="6" t="s">
        <v>169</v>
      </c>
      <c r="D206" s="44">
        <f t="shared" si="18"/>
        <v>2</v>
      </c>
      <c r="E206" s="6" t="s">
        <v>79</v>
      </c>
      <c r="F206" s="9">
        <f>Y206+SUMIFS('บันทึกของเข้า-ออก'!$J:$J,'บันทึกของเข้า-ออก'!$B:$B,สรุป!$C206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6" s="9">
        <f>Z206+SUMIFS('บันทึกของเข้า-ออก'!$J:$J,'บันทึกของเข้า-ออก'!$B:$B,สรุป!$C206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G$5,'บันทึกของเข้า-ออก'!$D:$D,"&gt;="&amp;สรุป!$F$2,'บันทึกของเข้า-ออก'!$D:$D,"&lt;="&amp;สรุป!$G$2)</f>
        <v>2</v>
      </c>
      <c r="H206" s="9">
        <f>AA206+SUMIFS('บันทึกของเข้า-ออก'!$J:$J,'บันทึกของเข้า-ออก'!$B:$B,สรุป!$C206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6" s="9">
        <f>AB206+SUMIFS('บันทึกของเข้า-ออก'!$J:$J,'บันทึกของเข้า-ออก'!$B:$B,สรุป!$C206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6" s="9">
        <f>AC206+SUMIFS('บันทึกของเข้า-ออก'!$J:$J,'บันทึกของเข้า-ออก'!$B:$B,สรุป!$C206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6" s="9">
        <f>AD206+SUMIFS('บันทึกของเข้า-ออก'!$J:$J,'บันทึกของเข้า-ออก'!$B:$B,สรุป!$C206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6" s="9">
        <f>AE206+SUMIFS('บันทึกของเข้า-ออก'!$J:$J,'บันทึกของเข้า-ออก'!$B:$B,สรุป!$C206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6" s="9">
        <f>AF206+SUMIFS('บันทึกของเข้า-ออก'!$J:$J,'บันทึกของเข้า-ออก'!$B:$B,สรุป!$C206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6" s="9">
        <f>AG206+SUMIFS('บันทึกของเข้า-ออก'!$J:$J,'บันทึกของเข้า-ออก'!$B:$B,สรุป!$C206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6" s="9">
        <f>AH206+SUMIFS('บันทึกของเข้า-ออก'!$J:$J,'บันทึกของเข้า-ออก'!$B:$B,สรุป!$C206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6" s="9">
        <f>AI206+SUMIFS('บันทึกของเข้า-ออก'!$J:$J,'บันทึกของเข้า-ออก'!$B:$B,สรุป!$C206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6" s="9">
        <f>AJ206+SUMIFS('บันทึกของเข้า-ออก'!$J:$J,'บันทึกของเข้า-ออก'!$B:$B,สรุป!$C206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6" s="9">
        <f>AK206+SUMIFS('บันทึกของเข้า-ออก'!$J:$J,'บันทึกของเข้า-ออก'!$B:$B,สรุป!$C206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6" s="26"/>
      <c r="T206" s="33"/>
      <c r="U206" s="34"/>
      <c r="V206" s="25" t="str">
        <f t="shared" si="19"/>
        <v>รูฟซิล</v>
      </c>
      <c r="W206" s="44">
        <v>2</v>
      </c>
      <c r="X206" s="35" t="s">
        <v>79</v>
      </c>
      <c r="Y206" s="26">
        <v>0</v>
      </c>
      <c r="Z206" s="26">
        <v>2</v>
      </c>
      <c r="AA206" s="26">
        <v>0</v>
      </c>
      <c r="AB206" s="26">
        <v>0</v>
      </c>
      <c r="AC206" s="26">
        <v>0</v>
      </c>
      <c r="AD206" s="26">
        <v>0</v>
      </c>
      <c r="AE206" s="26">
        <v>0</v>
      </c>
      <c r="AF206" s="26">
        <v>0</v>
      </c>
      <c r="AG206" s="26">
        <v>0</v>
      </c>
      <c r="AH206" s="26">
        <v>0</v>
      </c>
      <c r="AI206" s="26">
        <v>0</v>
      </c>
      <c r="AJ206" s="26">
        <v>0</v>
      </c>
      <c r="AK206" s="26">
        <v>0</v>
      </c>
      <c r="AL206" s="34"/>
    </row>
    <row r="207" spans="2:38" x14ac:dyDescent="0.3">
      <c r="B207" s="43" t="s">
        <v>131</v>
      </c>
      <c r="C207" s="6" t="s">
        <v>256</v>
      </c>
      <c r="D207" s="44">
        <f t="shared" si="18"/>
        <v>0</v>
      </c>
      <c r="E207" s="6" t="s">
        <v>80</v>
      </c>
      <c r="F207" s="9">
        <f>Y207+SUMIFS('บันทึกของเข้า-ออก'!$J:$J,'บันทึกของเข้า-ออก'!$B:$B,สรุป!$C207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7" s="9">
        <f>Z207+SUMIFS('บันทึกของเข้า-ออก'!$J:$J,'บันทึกของเข้า-ออก'!$B:$B,สรุป!$C207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7" s="9">
        <f>AA207+SUMIFS('บันทึกของเข้า-ออก'!$J:$J,'บันทึกของเข้า-ออก'!$B:$B,สรุป!$C207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7" s="9">
        <f>AB207+SUMIFS('บันทึกของเข้า-ออก'!$J:$J,'บันทึกของเข้า-ออก'!$B:$B,สรุป!$C207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7" s="9">
        <f>AC207+SUMIFS('บันทึกของเข้า-ออก'!$J:$J,'บันทึกของเข้า-ออก'!$B:$B,สรุป!$C207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7" s="9">
        <f>AD207+SUMIFS('บันทึกของเข้า-ออก'!$J:$J,'บันทึกของเข้า-ออก'!$B:$B,สรุป!$C207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7" s="9">
        <f>AE207+SUMIFS('บันทึกของเข้า-ออก'!$J:$J,'บันทึกของเข้า-ออก'!$B:$B,สรุป!$C207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7" s="9">
        <f>AF207+SUMIFS('บันทึกของเข้า-ออก'!$J:$J,'บันทึกของเข้า-ออก'!$B:$B,สรุป!$C207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7" s="9">
        <f>AG207+SUMIFS('บันทึกของเข้า-ออก'!$J:$J,'บันทึกของเข้า-ออก'!$B:$B,สรุป!$C207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7" s="9">
        <f>AH207+SUMIFS('บันทึกของเข้า-ออก'!$J:$J,'บันทึกของเข้า-ออก'!$B:$B,สรุป!$C207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7" s="9">
        <f>AI207+SUMIFS('บันทึกของเข้า-ออก'!$J:$J,'บันทึกของเข้า-ออก'!$B:$B,สรุป!$C207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7" s="9">
        <f>AJ207+SUMIFS('บันทึกของเข้า-ออก'!$J:$J,'บันทึกของเข้า-ออก'!$B:$B,สรุป!$C207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7" s="9">
        <f>AK207+SUMIFS('บันทึกของเข้า-ออก'!$J:$J,'บันทึกของเข้า-ออก'!$B:$B,สรุป!$C207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7" s="26"/>
      <c r="T207" s="33"/>
      <c r="U207" s="34"/>
      <c r="V207" s="25" t="str">
        <f t="shared" si="19"/>
        <v>ท่อผ้าใบ 3 นิ้ว 20 ม.</v>
      </c>
      <c r="W207" s="44">
        <v>0</v>
      </c>
      <c r="X207" s="35" t="s">
        <v>80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6">
        <v>0</v>
      </c>
      <c r="AE207" s="26">
        <v>0</v>
      </c>
      <c r="AF207" s="26">
        <v>0</v>
      </c>
      <c r="AG207" s="26">
        <v>0</v>
      </c>
      <c r="AH207" s="26">
        <v>0</v>
      </c>
      <c r="AI207" s="26">
        <v>0</v>
      </c>
      <c r="AJ207" s="26">
        <v>0</v>
      </c>
      <c r="AK207" s="26">
        <v>0</v>
      </c>
      <c r="AL207" s="34"/>
    </row>
    <row r="208" spans="2:38" x14ac:dyDescent="0.3">
      <c r="B208" s="43" t="s">
        <v>131</v>
      </c>
      <c r="C208" s="6" t="s">
        <v>145</v>
      </c>
      <c r="D208" s="44">
        <f t="shared" si="18"/>
        <v>0</v>
      </c>
      <c r="E208" s="6" t="s">
        <v>80</v>
      </c>
      <c r="F208" s="9">
        <f>Y208+SUMIFS('บันทึกของเข้า-ออก'!$J:$J,'บันทึกของเข้า-ออก'!$B:$B,สรุป!$C208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8" s="9">
        <f>Z208+SUMIFS('บันทึกของเข้า-ออก'!$J:$J,'บันทึกของเข้า-ออก'!$B:$B,สรุป!$C208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8" s="9">
        <f>AA208+SUMIFS('บันทึกของเข้า-ออก'!$J:$J,'บันทึกของเข้า-ออก'!$B:$B,สรุป!$C208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8" s="9">
        <f>AB208+SUMIFS('บันทึกของเข้า-ออก'!$J:$J,'บันทึกของเข้า-ออก'!$B:$B,สรุป!$C208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8" s="9">
        <f>AC208+SUMIFS('บันทึกของเข้า-ออก'!$J:$J,'บันทึกของเข้า-ออก'!$B:$B,สรุป!$C208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8" s="9">
        <f>AD208+SUMIFS('บันทึกของเข้า-ออก'!$J:$J,'บันทึกของเข้า-ออก'!$B:$B,สรุป!$C208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8" s="9">
        <f>AE208+SUMIFS('บันทึกของเข้า-ออก'!$J:$J,'บันทึกของเข้า-ออก'!$B:$B,สรุป!$C208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8" s="9">
        <f>AF208+SUMIFS('บันทึกของเข้า-ออก'!$J:$J,'บันทึกของเข้า-ออก'!$B:$B,สรุป!$C208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8" s="9">
        <f>AG208+SUMIFS('บันทึกของเข้า-ออก'!$J:$J,'บันทึกของเข้า-ออก'!$B:$B,สรุป!$C208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8" s="9">
        <f>AH208+SUMIFS('บันทึกของเข้า-ออก'!$J:$J,'บันทึกของเข้า-ออก'!$B:$B,สรุป!$C208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8" s="9">
        <f>AI208+SUMIFS('บันทึกของเข้า-ออก'!$J:$J,'บันทึกของเข้า-ออก'!$B:$B,สรุป!$C208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8" s="9">
        <f>AJ208+SUMIFS('บันทึกของเข้า-ออก'!$J:$J,'บันทึกของเข้า-ออก'!$B:$B,สรุป!$C208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8" s="9">
        <f>AK208+SUMIFS('บันทึกของเข้า-ออก'!$J:$J,'บันทึกของเข้า-ออก'!$B:$B,สรุป!$C208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8" s="26"/>
      <c r="T208" s="33"/>
      <c r="U208" s="34"/>
      <c r="V208" s="25" t="str">
        <f t="shared" si="19"/>
        <v>สายยางปั้มออโต้</v>
      </c>
      <c r="W208" s="44">
        <v>2</v>
      </c>
      <c r="X208" s="35" t="s">
        <v>80</v>
      </c>
      <c r="Y208" s="26">
        <v>0</v>
      </c>
      <c r="Z208" s="26">
        <v>0</v>
      </c>
      <c r="AA208" s="26">
        <v>0</v>
      </c>
      <c r="AB208" s="26">
        <v>0</v>
      </c>
      <c r="AC208" s="26">
        <v>0</v>
      </c>
      <c r="AD208" s="26">
        <v>0</v>
      </c>
      <c r="AE208" s="26">
        <v>0</v>
      </c>
      <c r="AF208" s="26">
        <v>0</v>
      </c>
      <c r="AG208" s="26">
        <v>0</v>
      </c>
      <c r="AH208" s="26">
        <v>0</v>
      </c>
      <c r="AI208" s="26">
        <v>0</v>
      </c>
      <c r="AJ208" s="26">
        <v>0</v>
      </c>
      <c r="AK208" s="26">
        <v>0</v>
      </c>
      <c r="AL208" s="34"/>
    </row>
    <row r="209" spans="2:38" x14ac:dyDescent="0.3">
      <c r="B209" s="43" t="s">
        <v>131</v>
      </c>
      <c r="C209" s="6" t="s">
        <v>340</v>
      </c>
      <c r="D209" s="44">
        <f t="shared" si="18"/>
        <v>0</v>
      </c>
      <c r="E209" s="6" t="s">
        <v>80</v>
      </c>
      <c r="F209" s="9">
        <f>Y209+SUMIFS('บันทึกของเข้า-ออก'!$J:$J,'บันทึกของเข้า-ออก'!$B:$B,สรุป!$C209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09" s="9">
        <f>Z209+SUMIFS('บันทึกของเข้า-ออก'!$J:$J,'บันทึกของเข้า-ออก'!$B:$B,สรุป!$C209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09" s="9">
        <f>AA209+SUMIFS('บันทึกของเข้า-ออก'!$J:$J,'บันทึกของเข้า-ออก'!$B:$B,สรุป!$C209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09" s="9">
        <f>AB209+SUMIFS('บันทึกของเข้า-ออก'!$J:$J,'บันทึกของเข้า-ออก'!$B:$B,สรุป!$C209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09" s="9">
        <f>AC209+SUMIFS('บันทึกของเข้า-ออก'!$J:$J,'บันทึกของเข้า-ออก'!$B:$B,สรุป!$C209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09" s="9">
        <f>AD209+SUMIFS('บันทึกของเข้า-ออก'!$J:$J,'บันทึกของเข้า-ออก'!$B:$B,สรุป!$C209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09" s="9">
        <f>AE209+SUMIFS('บันทึกของเข้า-ออก'!$J:$J,'บันทึกของเข้า-ออก'!$B:$B,สรุป!$C209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09" s="9">
        <f>AF209+SUMIFS('บันทึกของเข้า-ออก'!$J:$J,'บันทึกของเข้า-ออก'!$B:$B,สรุป!$C209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09" s="9">
        <f>AG209+SUMIFS('บันทึกของเข้า-ออก'!$J:$J,'บันทึกของเข้า-ออก'!$B:$B,สรุป!$C209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09" s="9">
        <f>AH209+SUMIFS('บันทึกของเข้า-ออก'!$J:$J,'บันทึกของเข้า-ออก'!$B:$B,สรุป!$C209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09" s="9">
        <f>AI209+SUMIFS('บันทึกของเข้า-ออก'!$J:$J,'บันทึกของเข้า-ออก'!$B:$B,สรุป!$C209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09" s="9">
        <f>AJ209+SUMIFS('บันทึกของเข้า-ออก'!$J:$J,'บันทึกของเข้า-ออก'!$B:$B,สรุป!$C209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09" s="9">
        <f>AK209+SUMIFS('บันทึกของเข้า-ออก'!$J:$J,'บันทึกของเข้า-ออก'!$B:$B,สรุป!$C209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209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09" s="26"/>
      <c r="T209" s="33"/>
      <c r="U209" s="34"/>
      <c r="V209" s="25" t="str">
        <f t="shared" si="19"/>
        <v>ท่อดูดอากาศ</v>
      </c>
      <c r="W209" s="44"/>
      <c r="X209" s="35"/>
      <c r="Y209" s="26">
        <v>0</v>
      </c>
      <c r="Z209" s="26">
        <v>0</v>
      </c>
      <c r="AA209" s="26">
        <v>0</v>
      </c>
      <c r="AB209" s="26">
        <v>0</v>
      </c>
      <c r="AC209" s="26">
        <v>0</v>
      </c>
      <c r="AD209" s="26">
        <v>0</v>
      </c>
      <c r="AE209" s="26">
        <v>0</v>
      </c>
      <c r="AF209" s="26">
        <v>0</v>
      </c>
      <c r="AG209" s="26">
        <v>0</v>
      </c>
      <c r="AH209" s="26">
        <v>0</v>
      </c>
      <c r="AI209" s="26">
        <v>0</v>
      </c>
      <c r="AJ209" s="26">
        <v>0</v>
      </c>
      <c r="AK209" s="26">
        <v>0</v>
      </c>
      <c r="AL209" s="34"/>
    </row>
    <row r="210" spans="2:38" x14ac:dyDescent="0.3">
      <c r="B210" s="43" t="s">
        <v>103</v>
      </c>
      <c r="C210" s="6" t="s">
        <v>334</v>
      </c>
      <c r="D210" s="44">
        <f t="shared" si="18"/>
        <v>0</v>
      </c>
      <c r="E210" s="6" t="s">
        <v>61</v>
      </c>
      <c r="F210" s="9">
        <f>Y210+SUMIFS('บันทึกของเข้า-ออก'!$J:$J,'บันทึกของเข้า-ออก'!$B:$B,สรุป!$C210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0" s="9">
        <f>Z210+SUMIFS('บันทึกของเข้า-ออก'!$J:$J,'บันทึกของเข้า-ออก'!$B:$B,สรุป!$C210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0" s="9">
        <f>AA210+SUMIFS('บันทึกของเข้า-ออก'!$J:$J,'บันทึกของเข้า-ออก'!$B:$B,สรุป!$C210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0" s="9">
        <f>AB210+SUMIFS('บันทึกของเข้า-ออก'!$J:$J,'บันทึกของเข้า-ออก'!$B:$B,สรุป!$C210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0" s="9">
        <f>AC210+SUMIFS('บันทึกของเข้า-ออก'!$J:$J,'บันทึกของเข้า-ออก'!$B:$B,สรุป!$C210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0" s="9">
        <f>AD210+SUMIFS('บันทึกของเข้า-ออก'!$J:$J,'บันทึกของเข้า-ออก'!$B:$B,สรุป!$C210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0" s="9">
        <f>AE210+SUMIFS('บันทึกของเข้า-ออก'!$J:$J,'บันทึกของเข้า-ออก'!$B:$B,สรุป!$C210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0" s="9">
        <f>AF210+SUMIFS('บันทึกของเข้า-ออก'!$J:$J,'บันทึกของเข้า-ออก'!$B:$B,สรุป!$C210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10" s="9">
        <f>AG210+SUMIFS('บันทึกของเข้า-ออก'!$J:$J,'บันทึกของเข้า-ออก'!$B:$B,สรุป!$C210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0" s="9">
        <f>AH210+SUMIFS('บันทึกของเข้า-ออก'!$J:$J,'บันทึกของเข้า-ออก'!$B:$B,สรุป!$C210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0" s="9">
        <f>AI210+SUMIFS('บันทึกของเข้า-ออก'!$J:$J,'บันทึกของเข้า-ออก'!$B:$B,สรุป!$C210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0" s="9">
        <f>AJ210+SUMIFS('บันทึกของเข้า-ออก'!$J:$J,'บันทึกของเข้า-ออก'!$B:$B,สรุป!$C210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0" s="9">
        <f>AK210+SUMIFS('บันทึกของเข้า-ออก'!$J:$J,'บันทึกของเข้า-ออก'!$B:$B,สรุป!$C210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0" s="26"/>
      <c r="T210" s="33"/>
      <c r="U210" s="34"/>
      <c r="V210" s="25" t="str">
        <f t="shared" si="19"/>
        <v>เครื่องแสกนความร้อน</v>
      </c>
      <c r="W210" s="44"/>
      <c r="X210" s="35"/>
      <c r="Y210" s="26">
        <v>0</v>
      </c>
      <c r="Z210" s="26">
        <v>0</v>
      </c>
      <c r="AA210" s="26">
        <v>0</v>
      </c>
      <c r="AB210" s="26">
        <v>0</v>
      </c>
      <c r="AC210" s="26">
        <v>0</v>
      </c>
      <c r="AD210" s="26">
        <v>0</v>
      </c>
      <c r="AE210" s="26">
        <v>0</v>
      </c>
      <c r="AF210" s="26">
        <v>0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34"/>
    </row>
    <row r="211" spans="2:38" x14ac:dyDescent="0.3">
      <c r="B211" s="43" t="s">
        <v>103</v>
      </c>
      <c r="C211" s="6" t="s">
        <v>124</v>
      </c>
      <c r="D211" s="44">
        <f t="shared" si="18"/>
        <v>1</v>
      </c>
      <c r="E211" s="6" t="s">
        <v>56</v>
      </c>
      <c r="F211" s="9">
        <f>Y211+SUMIFS('บันทึกของเข้า-ออก'!$J:$J,'บันทึกของเข้า-ออก'!$B:$B,สรุป!$C211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1" s="9">
        <f>Z211+SUMIFS('บันทึกของเข้า-ออก'!$J:$J,'บันทึกของเข้า-ออก'!$B:$B,สรุป!$C211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11" s="9">
        <f>AA211+SUMIFS('บันทึกของเข้า-ออก'!$J:$J,'บันทึกของเข้า-ออก'!$B:$B,สรุป!$C211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1" s="9">
        <f>AB211+SUMIFS('บันทึกของเข้า-ออก'!$J:$J,'บันทึกของเข้า-ออก'!$B:$B,สรุป!$C211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1" s="9">
        <f>AC211+SUMIFS('บันทึกของเข้า-ออก'!$J:$J,'บันทึกของเข้า-ออก'!$B:$B,สรุป!$C211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1" s="9">
        <f>AD211+SUMIFS('บันทึกของเข้า-ออก'!$J:$J,'บันทึกของเข้า-ออก'!$B:$B,สรุป!$C211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1" s="9">
        <f>AE211+SUMIFS('บันทึกของเข้า-ออก'!$J:$J,'บันทึกของเข้า-ออก'!$B:$B,สรุป!$C211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1" s="9">
        <f>AF211+SUMIFS('บันทึกของเข้า-ออก'!$J:$J,'บันทึกของเข้า-ออก'!$B:$B,สรุป!$C211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11" s="9">
        <f>AG211+SUMIFS('บันทึกของเข้า-ออก'!$J:$J,'บันทึกของเข้า-ออก'!$B:$B,สรุป!$C211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1" s="9">
        <f>AH211+SUMIFS('บันทึกของเข้า-ออก'!$J:$J,'บันทึกของเข้า-ออก'!$B:$B,สรุป!$C211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1" s="9">
        <f>AI211+SUMIFS('บันทึกของเข้า-ออก'!$J:$J,'บันทึกของเข้า-ออก'!$B:$B,สรุป!$C211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1" s="9">
        <f>AJ211+SUMIFS('บันทึกของเข้า-ออก'!$J:$J,'บันทึกของเข้า-ออก'!$B:$B,สรุป!$C211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1" s="9">
        <f>AK211+SUMIFS('บันทึกของเข้า-ออก'!$J:$J,'บันทึกของเข้า-ออก'!$B:$B,สรุป!$C211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1" s="26"/>
      <c r="T211" s="33"/>
      <c r="U211" s="34"/>
      <c r="V211" s="25" t="str">
        <f t="shared" si="19"/>
        <v>เครื่องเป่าลมร้อน</v>
      </c>
      <c r="W211" s="79">
        <v>2</v>
      </c>
      <c r="X211" s="35" t="s">
        <v>56</v>
      </c>
      <c r="Y211" s="26">
        <v>0</v>
      </c>
      <c r="Z211" s="26">
        <v>1</v>
      </c>
      <c r="AA211" s="26">
        <v>0</v>
      </c>
      <c r="AB211" s="26">
        <v>0</v>
      </c>
      <c r="AC211" s="26">
        <v>0</v>
      </c>
      <c r="AD211" s="26">
        <v>0</v>
      </c>
      <c r="AE211" s="26">
        <v>0</v>
      </c>
      <c r="AF211" s="26">
        <v>0</v>
      </c>
      <c r="AG211" s="26">
        <v>0</v>
      </c>
      <c r="AH211" s="26">
        <v>0</v>
      </c>
      <c r="AI211" s="26">
        <v>0</v>
      </c>
      <c r="AJ211" s="26">
        <v>0</v>
      </c>
      <c r="AK211" s="26">
        <v>0</v>
      </c>
      <c r="AL211" s="34"/>
    </row>
    <row r="212" spans="2:38" x14ac:dyDescent="0.3">
      <c r="B212" s="43" t="s">
        <v>103</v>
      </c>
      <c r="C212" s="6" t="s">
        <v>247</v>
      </c>
      <c r="D212" s="44">
        <f t="shared" si="18"/>
        <v>1</v>
      </c>
      <c r="E212" s="6" t="s">
        <v>56</v>
      </c>
      <c r="F212" s="9">
        <f>Y212+SUMIFS('บันทึกของเข้า-ออก'!$J:$J,'บันทึกของเข้า-ออก'!$B:$B,สรุป!$C212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2" s="9">
        <f>Z212+SUMIFS('บันทึกของเข้า-ออก'!$J:$J,'บันทึกของเข้า-ออก'!$B:$B,สรุป!$C212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2" s="9">
        <f>AA212+SUMIFS('บันทึกของเข้า-ออก'!$J:$J,'บันทึกของเข้า-ออก'!$B:$B,สรุป!$C212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2" s="9">
        <f>AB212+SUMIFS('บันทึกของเข้า-ออก'!$J:$J,'บันทึกของเข้า-ออก'!$B:$B,สรุป!$C212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2" s="9">
        <f>AC212+SUMIFS('บันทึกของเข้า-ออก'!$J:$J,'บันทึกของเข้า-ออก'!$B:$B,สรุป!$C212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2" s="9">
        <f>AD212+SUMIFS('บันทึกของเข้า-ออก'!$J:$J,'บันทึกของเข้า-ออก'!$B:$B,สรุป!$C212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2" s="9">
        <f>AE212+SUMIFS('บันทึกของเข้า-ออก'!$J:$J,'บันทึกของเข้า-ออก'!$B:$B,สรุป!$C212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2" s="9">
        <f>AF212+SUMIFS('บันทึกของเข้า-ออก'!$J:$J,'บันทึกของเข้า-ออก'!$B:$B,สรุป!$C212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12" s="9">
        <f>AG212+SUMIFS('บันทึกของเข้า-ออก'!$J:$J,'บันทึกของเข้า-ออก'!$B:$B,สรุป!$C212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2" s="9">
        <f>AH212+SUMIFS('บันทึกของเข้า-ออก'!$J:$J,'บันทึกของเข้า-ออก'!$B:$B,สรุป!$C212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2" s="9">
        <f>AI212+SUMIFS('บันทึกของเข้า-ออก'!$J:$J,'บันทึกของเข้า-ออก'!$B:$B,สรุป!$C212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2" s="9">
        <f>AJ212+SUMIFS('บันทึกของเข้า-ออก'!$J:$J,'บันทึกของเข้า-ออก'!$B:$B,สรุป!$C212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2" s="9">
        <f>AK212+SUMIFS('บันทึกของเข้า-ออก'!$J:$J,'บันทึกของเข้า-ออก'!$B:$B,สรุป!$C212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2" s="26"/>
      <c r="T212" s="33"/>
      <c r="U212" s="34"/>
      <c r="V212" s="25" t="str">
        <f t="shared" si="19"/>
        <v>ปั๊กเก็ตเทปูนแบบเปิดข้าง</v>
      </c>
      <c r="W212" s="79">
        <v>1</v>
      </c>
      <c r="X212" s="35" t="s">
        <v>56</v>
      </c>
      <c r="Y212" s="26">
        <v>0</v>
      </c>
      <c r="Z212" s="26">
        <v>0</v>
      </c>
      <c r="AA212" s="26">
        <v>0</v>
      </c>
      <c r="AB212" s="26">
        <v>0</v>
      </c>
      <c r="AC212" s="26">
        <v>0</v>
      </c>
      <c r="AD212" s="26">
        <v>0</v>
      </c>
      <c r="AE212" s="26">
        <v>0</v>
      </c>
      <c r="AF212" s="26">
        <v>1</v>
      </c>
      <c r="AG212" s="26">
        <v>0</v>
      </c>
      <c r="AH212" s="26">
        <v>0</v>
      </c>
      <c r="AI212" s="26">
        <v>0</v>
      </c>
      <c r="AJ212" s="26">
        <v>0</v>
      </c>
      <c r="AK212" s="26">
        <v>0</v>
      </c>
      <c r="AL212" s="34"/>
    </row>
    <row r="213" spans="2:38" x14ac:dyDescent="0.3">
      <c r="B213" s="43" t="s">
        <v>103</v>
      </c>
      <c r="C213" s="6" t="s">
        <v>295</v>
      </c>
      <c r="D213" s="44">
        <f t="shared" si="18"/>
        <v>2</v>
      </c>
      <c r="E213" s="6" t="s">
        <v>61</v>
      </c>
      <c r="F213" s="9">
        <f>Y213+SUMIFS('บันทึกของเข้า-ออก'!$J:$J,'บันทึกของเข้า-ออก'!$B:$B,สรุป!$C213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3" s="9">
        <f>Z213+SUMIFS('บันทึกของเข้า-ออก'!$J:$J,'บันทึกของเข้า-ออก'!$B:$B,สรุป!$C213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3" s="9">
        <f>AA213+SUMIFS('บันทึกของเข้า-ออก'!$J:$J,'บันทึกของเข้า-ออก'!$B:$B,สรุป!$C213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3" s="9">
        <f>AB213+SUMIFS('บันทึกของเข้า-ออก'!$J:$J,'บันทึกของเข้า-ออก'!$B:$B,สรุป!$C213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3" s="9">
        <f>AC213+SUMIFS('บันทึกของเข้า-ออก'!$J:$J,'บันทึกของเข้า-ออก'!$B:$B,สรุป!$C213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3" s="9">
        <f>AD213+SUMIFS('บันทึกของเข้า-ออก'!$J:$J,'บันทึกของเข้า-ออก'!$B:$B,สรุป!$C213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3" s="9">
        <f>AE213+SUMIFS('บันทึกของเข้า-ออก'!$J:$J,'บันทึกของเข้า-ออก'!$B:$B,สรุป!$C213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3" s="9">
        <f>AF213+SUMIFS('บันทึกของเข้า-ออก'!$J:$J,'บันทึกของเข้า-ออก'!$B:$B,สรุป!$C213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M$5,'บันทึกของเข้า-ออก'!$D:$D,"&gt;="&amp;สรุป!$F$2,'บันทึกของเข้า-ออก'!$D:$D,"&lt;="&amp;สรุป!$G$2)</f>
        <v>2</v>
      </c>
      <c r="N213" s="9">
        <f>AG213+SUMIFS('บันทึกของเข้า-ออก'!$J:$J,'บันทึกของเข้า-ออก'!$B:$B,สรุป!$C213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3" s="9">
        <f>AH213+SUMIFS('บันทึกของเข้า-ออก'!$J:$J,'บันทึกของเข้า-ออก'!$B:$B,สรุป!$C213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3" s="9">
        <f>AI213+SUMIFS('บันทึกของเข้า-ออก'!$J:$J,'บันทึกของเข้า-ออก'!$B:$B,สรุป!$C213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3" s="9">
        <f>AJ213+SUMIFS('บันทึกของเข้า-ออก'!$J:$J,'บันทึกของเข้า-ออก'!$B:$B,สรุป!$C213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3" s="9">
        <f>AK213+SUMIFS('บันทึกของเข้า-ออก'!$J:$J,'บันทึกของเข้า-ออก'!$B:$B,สรุป!$C213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3" s="26"/>
      <c r="T213" s="33"/>
      <c r="U213" s="34"/>
      <c r="V213" s="25" t="str">
        <f t="shared" si="19"/>
        <v>เครื่องขัดหน้าปูนฉาบ</v>
      </c>
      <c r="W213" s="79">
        <v>2</v>
      </c>
      <c r="X213" s="35" t="s">
        <v>61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2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34"/>
    </row>
    <row r="214" spans="2:38" x14ac:dyDescent="0.3">
      <c r="B214" s="43" t="s">
        <v>103</v>
      </c>
      <c r="C214" s="6" t="s">
        <v>318</v>
      </c>
      <c r="D214" s="44">
        <f t="shared" si="18"/>
        <v>1</v>
      </c>
      <c r="E214" s="6" t="s">
        <v>61</v>
      </c>
      <c r="F214" s="9">
        <f>Y214+SUMIFS('บันทึกของเข้า-ออก'!$J:$J,'บันทึกของเข้า-ออก'!$B:$B,สรุป!$C214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4" s="9">
        <f>Z214+SUMIFS('บันทึกของเข้า-ออก'!$J:$J,'บันทึกของเข้า-ออก'!$B:$B,สรุป!$C214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4" s="9">
        <f>AA214+SUMIFS('บันทึกของเข้า-ออก'!$J:$J,'บันทึกของเข้า-ออก'!$B:$B,สรุป!$C214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4" s="9">
        <f>AB214+SUMIFS('บันทึกของเข้า-ออก'!$J:$J,'บันทึกของเข้า-ออก'!$B:$B,สรุป!$C214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4" s="9">
        <f>AC214+SUMIFS('บันทึกของเข้า-ออก'!$J:$J,'บันทึกของเข้า-ออก'!$B:$B,สรุป!$C214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4" s="9">
        <f>AD214+SUMIFS('บันทึกของเข้า-ออก'!$J:$J,'บันทึกของเข้า-ออก'!$B:$B,สรุป!$C214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4" s="9">
        <f>AE214+SUMIFS('บันทึกของเข้า-ออก'!$J:$J,'บันทึกของเข้า-ออก'!$B:$B,สรุป!$C214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4" s="9">
        <f>AF214+SUMIFS('บันทึกของเข้า-ออก'!$J:$J,'บันทึกของเข้า-ออก'!$B:$B,สรุป!$C214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14" s="9">
        <f>AG214+SUMIFS('บันทึกของเข้า-ออก'!$J:$J,'บันทึกของเข้า-ออก'!$B:$B,สรุป!$C214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4" s="9">
        <f>AH214+SUMIFS('บันทึกของเข้า-ออก'!$J:$J,'บันทึกของเข้า-ออก'!$B:$B,สรุป!$C214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4" s="9">
        <f>AI214+SUMIFS('บันทึกของเข้า-ออก'!$J:$J,'บันทึกของเข้า-ออก'!$B:$B,สรุป!$C214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4" s="9">
        <f>AJ214+SUMIFS('บันทึกของเข้า-ออก'!$J:$J,'บันทึกของเข้า-ออก'!$B:$B,สรุป!$C214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4" s="9">
        <f>AK214+SUMIFS('บันทึกของเข้า-ออก'!$J:$J,'บันทึกของเข้า-ออก'!$B:$B,สรุป!$C214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4" s="26"/>
      <c r="T214" s="33"/>
      <c r="U214" s="34"/>
      <c r="V214" s="25" t="str">
        <f t="shared" si="19"/>
        <v>เครื่องปาดหน้าปูนไร้สาย</v>
      </c>
      <c r="W214" s="79">
        <v>1</v>
      </c>
      <c r="X214" s="35" t="s">
        <v>61</v>
      </c>
      <c r="Y214" s="26">
        <v>0</v>
      </c>
      <c r="Z214" s="26">
        <v>0</v>
      </c>
      <c r="AA214" s="26">
        <v>0</v>
      </c>
      <c r="AB214" s="26">
        <v>0</v>
      </c>
      <c r="AC214" s="26">
        <v>0</v>
      </c>
      <c r="AD214" s="26">
        <v>0</v>
      </c>
      <c r="AE214" s="26">
        <v>0</v>
      </c>
      <c r="AF214" s="26">
        <v>1</v>
      </c>
      <c r="AG214" s="26">
        <v>0</v>
      </c>
      <c r="AH214" s="26">
        <v>0</v>
      </c>
      <c r="AI214" s="26">
        <v>0</v>
      </c>
      <c r="AJ214" s="26">
        <v>0</v>
      </c>
      <c r="AK214" s="26">
        <v>0</v>
      </c>
      <c r="AL214" s="34"/>
    </row>
    <row r="215" spans="2:38" x14ac:dyDescent="0.3">
      <c r="B215" s="43" t="s">
        <v>103</v>
      </c>
      <c r="C215" s="6" t="s">
        <v>316</v>
      </c>
      <c r="D215" s="44">
        <v>2</v>
      </c>
      <c r="E215" s="6" t="s">
        <v>61</v>
      </c>
      <c r="F215" s="9">
        <f>Y215+SUMIFS('บันทึกของเข้า-ออก'!$J:$J,'บันทึกของเข้า-ออก'!$B:$B,สรุป!$C215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5" s="9">
        <f>Z215+SUMIFS('บันทึกของเข้า-ออก'!$J:$J,'บันทึกของเข้า-ออก'!$B:$B,สรุป!$C215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15" s="9">
        <f>AA215+SUMIFS('บันทึกของเข้า-ออก'!$J:$J,'บันทึกของเข้า-ออก'!$B:$B,สรุป!$C215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5" s="9">
        <f>AB215+SUMIFS('บันทึกของเข้า-ออก'!$J:$J,'บันทึกของเข้า-ออก'!$B:$B,สรุป!$C215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5" s="9">
        <f>AC215+SUMIFS('บันทึกของเข้า-ออก'!$J:$J,'บันทึกของเข้า-ออก'!$B:$B,สรุป!$C215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5" s="9">
        <f>AD215+SUMIFS('บันทึกของเข้า-ออก'!$J:$J,'บันทึกของเข้า-ออก'!$B:$B,สรุป!$C215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5" s="9">
        <f>AE215+SUMIFS('บันทึกของเข้า-ออก'!$J:$J,'บันทึกของเข้า-ออก'!$B:$B,สรุป!$C215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L$5,'บันทึกของเข้า-ออก'!$D:$D,"&gt;="&amp;สรุป!$F$2,'บันทึกของเข้า-ออก'!$D:$D,"&lt;="&amp;สรุป!$G$2)</f>
        <v>1</v>
      </c>
      <c r="M215" s="9">
        <f>AF215+SUMIFS('บันทึกของเข้า-ออก'!$J:$J,'บันทึกของเข้า-ออก'!$B:$B,สรุป!$C215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M$5,'บันทึกของเข้า-ออก'!$D:$D,"&gt;="&amp;สรุป!$F$2,'บันทึกของเข้า-ออก'!$D:$D,"&lt;="&amp;สรุป!$G$2)</f>
        <v>-1</v>
      </c>
      <c r="N215" s="9">
        <f>AG215+SUMIFS('บันทึกของเข้า-ออก'!$J:$J,'บันทึกของเข้า-ออก'!$B:$B,สรุป!$C215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5" s="9">
        <f>AH215+SUMIFS('บันทึกของเข้า-ออก'!$J:$J,'บันทึกของเข้า-ออก'!$B:$B,สรุป!$C215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5" s="9">
        <f>AI215+SUMIFS('บันทึกของเข้า-ออก'!$J:$J,'บันทึกของเข้า-ออก'!$B:$B,สรุป!$C215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5" s="9">
        <f>AJ215+SUMIFS('บันทึกของเข้า-ออก'!$J:$J,'บันทึกของเข้า-ออก'!$B:$B,สรุป!$C215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5" s="9">
        <f>AK215+SUMIFS('บันทึกของเข้า-ออก'!$J:$J,'บันทึกของเข้า-ออก'!$B:$B,สรุป!$C215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215,'บันทึกของเข้า-ออก'!$F:$F,สรุป!R$5,'บันทึกของเข้า-ออก'!$D:$D,"&gt;="&amp;สรุป!$F$2,'บันทึกของเข้า-ออก'!$D:$D,"&lt;="&amp;สรุป!$G$2)</f>
        <v>1</v>
      </c>
      <c r="S215" s="26"/>
      <c r="T215" s="33"/>
      <c r="U215" s="34"/>
      <c r="V215" s="25" t="str">
        <f t="shared" si="19"/>
        <v>เครื่องตบดิน</v>
      </c>
      <c r="W215" s="79">
        <v>1</v>
      </c>
      <c r="X215" s="35" t="s">
        <v>61</v>
      </c>
      <c r="Y215" s="26">
        <v>0</v>
      </c>
      <c r="Z215" s="26">
        <v>0</v>
      </c>
      <c r="AA215" s="26">
        <v>1</v>
      </c>
      <c r="AB215" s="26">
        <v>0</v>
      </c>
      <c r="AC215" s="26">
        <v>0</v>
      </c>
      <c r="AD215" s="26">
        <v>0</v>
      </c>
      <c r="AE215" s="26">
        <v>0</v>
      </c>
      <c r="AF215" s="26">
        <v>0</v>
      </c>
      <c r="AG215" s="26">
        <v>0</v>
      </c>
      <c r="AH215" s="26">
        <v>0</v>
      </c>
      <c r="AI215" s="26">
        <v>0</v>
      </c>
      <c r="AJ215" s="26">
        <v>0</v>
      </c>
      <c r="AK215" s="26">
        <v>1</v>
      </c>
      <c r="AL215" s="34"/>
    </row>
    <row r="216" spans="2:38" x14ac:dyDescent="0.3">
      <c r="B216" s="43" t="s">
        <v>103</v>
      </c>
      <c r="C216" s="6" t="s">
        <v>163</v>
      </c>
      <c r="D216" s="44">
        <f t="shared" si="18"/>
        <v>4</v>
      </c>
      <c r="E216" s="6" t="s">
        <v>61</v>
      </c>
      <c r="F216" s="9">
        <f>Y216+SUMIFS('บันทึกของเข้า-ออก'!$J:$J,'บันทึกของเข้า-ออก'!$B:$B,สรุป!$C216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6" s="9">
        <f>Z216+SUMIFS('บันทึกของเข้า-ออก'!$J:$J,'บันทึกของเข้า-ออก'!$B:$B,สรุป!$C216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6" s="9">
        <f>AA216+SUMIFS('บันทึกของเข้า-ออก'!$J:$J,'บันทึกของเข้า-ออก'!$B:$B,สรุป!$C216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16" s="9">
        <f>AB216+SUMIFS('บันทึกของเข้า-ออก'!$J:$J,'บันทึกของเข้า-ออก'!$B:$B,สรุป!$C216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6" s="9">
        <f>AC216+SUMIFS('บันทึกของเข้า-ออก'!$J:$J,'บันทึกของเข้า-ออก'!$B:$B,สรุป!$C216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6" s="9">
        <f>AD216+SUMIFS('บันทึกของเข้า-ออก'!$J:$J,'บันทึกของเข้า-ออก'!$B:$B,สรุป!$C216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6" s="9">
        <f>AE216+SUMIFS('บันทึกของเข้า-ออก'!$J:$J,'บันทึกของเข้า-ออก'!$B:$B,สรุป!$C216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6" s="9">
        <f>AF216+SUMIFS('บันทึกของเข้า-ออก'!$J:$J,'บันทึกของเข้า-ออก'!$B:$B,สรุป!$C216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16" s="9">
        <f>AG216+SUMIFS('บันทึกของเข้า-ออก'!$J:$J,'บันทึกของเข้า-ออก'!$B:$B,สรุป!$C216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216" s="9">
        <f>AH216+SUMIFS('บันทึกของเข้า-ออก'!$J:$J,'บันทึกของเข้า-ออก'!$B:$B,สรุป!$C216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6" s="9">
        <f>AI216+SUMIFS('บันทึกของเข้า-ออก'!$J:$J,'บันทึกของเข้า-ออก'!$B:$B,สรุป!$C216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6" s="9">
        <f>AJ216+SUMIFS('บันทึกของเข้า-ออก'!$J:$J,'บันทึกของเข้า-ออก'!$B:$B,สรุป!$C216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6" s="9">
        <f>AK216+SUMIFS('บันทึกของเข้า-ออก'!$J:$J,'บันทึกของเข้า-ออก'!$B:$B,สรุป!$C216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216,'บันทึกของเข้า-ออก'!$F:$F,สรุป!R$5,'บันทึกของเข้า-ออก'!$D:$D,"&gt;="&amp;สรุป!$F$2,'บันทึกของเข้า-ออก'!$D:$D,"&lt;="&amp;สรุป!$G$2)</f>
        <v>1</v>
      </c>
      <c r="S216" s="26"/>
      <c r="T216" s="33"/>
      <c r="U216" s="34"/>
      <c r="V216" s="25" t="str">
        <f t="shared" si="19"/>
        <v>เครื่องโม่ปูนฉาบ</v>
      </c>
      <c r="W216" s="79">
        <v>1</v>
      </c>
      <c r="X216" s="35" t="s">
        <v>61</v>
      </c>
      <c r="Y216" s="26">
        <v>1</v>
      </c>
      <c r="Z216" s="26">
        <v>0</v>
      </c>
      <c r="AA216" s="26">
        <v>1</v>
      </c>
      <c r="AB216" s="26">
        <v>0</v>
      </c>
      <c r="AC216" s="26"/>
      <c r="AD216" s="26">
        <v>0</v>
      </c>
      <c r="AE216" s="26">
        <v>0</v>
      </c>
      <c r="AF216" s="26">
        <v>1</v>
      </c>
      <c r="AG216" s="26">
        <v>0</v>
      </c>
      <c r="AH216" s="26">
        <v>0</v>
      </c>
      <c r="AI216" s="26">
        <v>0</v>
      </c>
      <c r="AJ216" s="26">
        <v>0</v>
      </c>
      <c r="AK216" s="26">
        <v>1</v>
      </c>
      <c r="AL216" s="34"/>
    </row>
    <row r="217" spans="2:38" x14ac:dyDescent="0.3">
      <c r="B217" s="43" t="s">
        <v>103</v>
      </c>
      <c r="C217" s="6" t="s">
        <v>49</v>
      </c>
      <c r="D217" s="44">
        <f t="shared" si="18"/>
        <v>2</v>
      </c>
      <c r="E217" s="6" t="s">
        <v>56</v>
      </c>
      <c r="F217" s="9">
        <f>Y217+SUMIFS('บันทึกของเข้า-ออก'!$J:$J,'บันทึกของเข้า-ออก'!$B:$B,สรุป!$C217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7" s="9">
        <f>Z217+SUMIFS('บันทึกของเข้า-ออก'!$J:$J,'บันทึกของเข้า-ออก'!$B:$B,สรุป!$C217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17" s="9">
        <f>AA217+SUMIFS('บันทึกของเข้า-ออก'!$J:$J,'บันทึกของเข้า-ออก'!$B:$B,สรุป!$C217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7" s="9">
        <f>AB217+SUMIFS('บันทึกของเข้า-ออก'!$J:$J,'บันทึกของเข้า-ออก'!$B:$B,สรุป!$C217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7" s="9">
        <f>AC217+SUMIFS('บันทึกของเข้า-ออก'!$J:$J,'บันทึกของเข้า-ออก'!$B:$B,สรุป!$C217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7" s="9">
        <f>AD217+SUMIFS('บันทึกของเข้า-ออก'!$J:$J,'บันทึกของเข้า-ออก'!$B:$B,สรุป!$C217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7" s="9">
        <f>AE217+SUMIFS('บันทึกของเข้า-ออก'!$J:$J,'บันทึกของเข้า-ออก'!$B:$B,สรุป!$C217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7" s="9">
        <f>AF217+SUMIFS('บันทึกของเข้า-ออก'!$J:$J,'บันทึกของเข้า-ออก'!$B:$B,สรุป!$C217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17" s="9">
        <f>AG217+SUMIFS('บันทึกของเข้า-ออก'!$J:$J,'บันทึกของเข้า-ออก'!$B:$B,สรุป!$C217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7" s="9">
        <f>AH217+SUMIFS('บันทึกของเข้า-ออก'!$J:$J,'บันทึกของเข้า-ออก'!$B:$B,สรุป!$C217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17" s="9">
        <f>AI217+SUMIFS('บันทึกของเข้า-ออก'!$J:$J,'บันทึกของเข้า-ออก'!$B:$B,สรุป!$C217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7" s="9">
        <f>AJ217+SUMIFS('บันทึกของเข้า-ออก'!$J:$J,'บันทึกของเข้า-ออก'!$B:$B,สรุป!$C217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7" s="9">
        <f>AK217+SUMIFS('บันทึกของเข้า-ออก'!$J:$J,'บันทึกของเข้า-ออก'!$B:$B,สรุป!$C217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7" s="26"/>
      <c r="T217" s="33"/>
      <c r="U217" s="34"/>
      <c r="V217" s="25" t="str">
        <f t="shared" si="19"/>
        <v>เครื่องฉีดน้ำแรงดันสูง</v>
      </c>
      <c r="W217" s="79">
        <v>2</v>
      </c>
      <c r="X217" s="35" t="s">
        <v>56</v>
      </c>
      <c r="Y217" s="26">
        <v>0</v>
      </c>
      <c r="Z217" s="26">
        <v>0</v>
      </c>
      <c r="AA217" s="26">
        <v>0</v>
      </c>
      <c r="AB217" s="26">
        <v>0</v>
      </c>
      <c r="AC217" s="26">
        <v>0</v>
      </c>
      <c r="AD217" s="26">
        <v>0</v>
      </c>
      <c r="AE217" s="26">
        <v>0</v>
      </c>
      <c r="AF217" s="26">
        <v>0</v>
      </c>
      <c r="AG217" s="26">
        <v>0</v>
      </c>
      <c r="AH217" s="26">
        <v>2</v>
      </c>
      <c r="AI217" s="26">
        <v>0</v>
      </c>
      <c r="AJ217" s="26">
        <v>0</v>
      </c>
      <c r="AK217" s="26">
        <v>0</v>
      </c>
      <c r="AL217" s="34"/>
    </row>
    <row r="218" spans="2:38" x14ac:dyDescent="0.3">
      <c r="B218" s="43" t="s">
        <v>103</v>
      </c>
      <c r="C218" s="6" t="s">
        <v>269</v>
      </c>
      <c r="D218" s="44">
        <f t="shared" si="18"/>
        <v>1</v>
      </c>
      <c r="E218" s="6" t="s">
        <v>56</v>
      </c>
      <c r="F218" s="9">
        <f>Y218+SUMIFS('บันทึกของเข้า-ออก'!$J:$J,'บันทึกของเข้า-ออก'!$B:$B,สรุป!$C218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8" s="9">
        <f>Z218+SUMIFS('บันทึกของเข้า-ออก'!$J:$J,'บันทึกของเข้า-ออก'!$B:$B,สรุป!$C218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18" s="9">
        <f>AA218+SUMIFS('บันทึกของเข้า-ออก'!$J:$J,'บันทึกของเข้า-ออก'!$B:$B,สรุป!$C218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8" s="9">
        <f>AB218+SUMIFS('บันทึกของเข้า-ออก'!$J:$J,'บันทึกของเข้า-ออก'!$B:$B,สรุป!$C218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8" s="9">
        <f>AC218+SUMIFS('บันทึกของเข้า-ออก'!$J:$J,'บันทึกของเข้า-ออก'!$B:$B,สรุป!$C218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8" s="9">
        <f>AD218+SUMIFS('บันทึกของเข้า-ออก'!$J:$J,'บันทึกของเข้า-ออก'!$B:$B,สรุป!$C218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8" s="9">
        <f>AE218+SUMIFS('บันทึกของเข้า-ออก'!$J:$J,'บันทึกของเข้า-ออก'!$B:$B,สรุป!$C218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8" s="9">
        <f>AF218+SUMIFS('บันทึกของเข้า-ออก'!$J:$J,'บันทึกของเข้า-ออก'!$B:$B,สรุป!$C218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18" s="9">
        <f>AG218+SUMIFS('บันทึกของเข้า-ออก'!$J:$J,'บันทึกของเข้า-ออก'!$B:$B,สรุป!$C218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8" s="9">
        <f>AH218+SUMIFS('บันทึกของเข้า-ออก'!$J:$J,'บันทึกของเข้า-ออก'!$B:$B,สรุป!$C218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8" s="9">
        <f>AI218+SUMIFS('บันทึกของเข้า-ออก'!$J:$J,'บันทึกของเข้า-ออก'!$B:$B,สรุป!$C218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8" s="9">
        <f>AJ218+SUMIFS('บันทึกของเข้า-ออก'!$J:$J,'บันทึกของเข้า-ออก'!$B:$B,สรุป!$C218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8" s="9">
        <f>AK218+SUMIFS('บันทึกของเข้า-ออก'!$J:$J,'บันทึกของเข้า-ออก'!$B:$B,สรุป!$C218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8" s="26"/>
      <c r="T218" s="33"/>
      <c r="U218" s="34"/>
      <c r="V218" s="25" t="str">
        <f t="shared" si="19"/>
        <v>สว่านไร้สาย</v>
      </c>
      <c r="W218" s="79">
        <v>2</v>
      </c>
      <c r="X218" s="35" t="s">
        <v>56</v>
      </c>
      <c r="Y218" s="26">
        <v>0</v>
      </c>
      <c r="Z218" s="26">
        <v>1</v>
      </c>
      <c r="AA218" s="26">
        <v>0</v>
      </c>
      <c r="AB218" s="26">
        <v>0</v>
      </c>
      <c r="AC218" s="26">
        <v>0</v>
      </c>
      <c r="AD218" s="26">
        <v>0</v>
      </c>
      <c r="AE218" s="26">
        <v>0</v>
      </c>
      <c r="AF218" s="26">
        <v>0</v>
      </c>
      <c r="AG218" s="26">
        <v>0</v>
      </c>
      <c r="AH218" s="26">
        <v>0</v>
      </c>
      <c r="AI218" s="26">
        <v>0</v>
      </c>
      <c r="AJ218" s="26">
        <v>0</v>
      </c>
      <c r="AK218" s="26">
        <v>0</v>
      </c>
      <c r="AL218" s="34"/>
    </row>
    <row r="219" spans="2:38" x14ac:dyDescent="0.3">
      <c r="B219" s="43" t="s">
        <v>103</v>
      </c>
      <c r="C219" s="6" t="s">
        <v>270</v>
      </c>
      <c r="D219" s="44">
        <f t="shared" si="18"/>
        <v>2</v>
      </c>
      <c r="E219" s="6" t="s">
        <v>56</v>
      </c>
      <c r="F219" s="9">
        <f>Y219+SUMIFS('บันทึกของเข้า-ออก'!$J:$J,'บันทึกของเข้า-ออก'!$B:$B,สรุป!$C219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19" s="95">
        <f>Z219+SUMIFS('บันทึกของเข้า-ออก'!$J:$J,'บันทึกของเข้า-ออก'!$B:$B,สรุป!$C219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G$5,'บันทึกของเข้า-ออก'!$D:$D,"&gt;="&amp;สรุป!$F$2,'บันทึกของเข้า-ออก'!$D:$D,"&lt;="&amp;สรุป!$G$2)</f>
        <v>2</v>
      </c>
      <c r="H219" s="9">
        <f>AA219+SUMIFS('บันทึกของเข้า-ออก'!$J:$J,'บันทึกของเข้า-ออก'!$B:$B,สรุป!$C219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19" s="9">
        <f>AB219+SUMIFS('บันทึกของเข้า-ออก'!$J:$J,'บันทึกของเข้า-ออก'!$B:$B,สรุป!$C219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19" s="9">
        <f>AC219+SUMIFS('บันทึกของเข้า-ออก'!$J:$J,'บันทึกของเข้า-ออก'!$B:$B,สรุป!$C219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19" s="9">
        <f>AD219+SUMIFS('บันทึกของเข้า-ออก'!$J:$J,'บันทึกของเข้า-ออก'!$B:$B,สรุป!$C219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19" s="9">
        <f>AE219+SUMIFS('บันทึกของเข้า-ออก'!$J:$J,'บันทึกของเข้า-ออก'!$B:$B,สรุป!$C219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19" s="9">
        <f>AF219+SUMIFS('บันทึกของเข้า-ออก'!$J:$J,'บันทึกของเข้า-ออก'!$B:$B,สรุป!$C219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19" s="9">
        <f>AG219+SUMIFS('บันทึกของเข้า-ออก'!$J:$J,'บันทึกของเข้า-ออก'!$B:$B,สรุป!$C219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19" s="9">
        <f>AH219+SUMIFS('บันทึกของเข้า-ออก'!$J:$J,'บันทึกของเข้า-ออก'!$B:$B,สรุป!$C219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19" s="9">
        <f>AI219+SUMIFS('บันทึกของเข้า-ออก'!$J:$J,'บันทึกของเข้า-ออก'!$B:$B,สรุป!$C219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19" s="9">
        <f>AJ219+SUMIFS('บันทึกของเข้า-ออก'!$J:$J,'บันทึกของเข้า-ออก'!$B:$B,สรุป!$C219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19" s="9">
        <f>AK219+SUMIFS('บันทึกของเข้า-ออก'!$J:$J,'บันทึกของเข้า-ออก'!$B:$B,สรุป!$C219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219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19" s="96" t="s">
        <v>406</v>
      </c>
      <c r="T219" s="33"/>
      <c r="U219" s="34"/>
      <c r="V219" s="25" t="str">
        <f t="shared" si="19"/>
        <v>ลูกหมูไร้สาย</v>
      </c>
      <c r="W219" s="79">
        <v>1</v>
      </c>
      <c r="X219" s="35" t="s">
        <v>56</v>
      </c>
      <c r="Y219" s="26">
        <v>0</v>
      </c>
      <c r="Z219" s="26">
        <v>1</v>
      </c>
      <c r="AA219" s="26">
        <v>0</v>
      </c>
      <c r="AB219" s="26">
        <v>0</v>
      </c>
      <c r="AC219" s="26">
        <v>0</v>
      </c>
      <c r="AD219" s="26">
        <v>0</v>
      </c>
      <c r="AE219" s="26">
        <v>0</v>
      </c>
      <c r="AF219" s="26">
        <v>0</v>
      </c>
      <c r="AG219" s="26">
        <v>0</v>
      </c>
      <c r="AH219" s="26">
        <v>0</v>
      </c>
      <c r="AI219" s="26">
        <v>0</v>
      </c>
      <c r="AJ219" s="26">
        <v>0</v>
      </c>
      <c r="AK219" s="26">
        <v>0</v>
      </c>
      <c r="AL219" s="34"/>
    </row>
    <row r="220" spans="2:38" x14ac:dyDescent="0.3">
      <c r="B220" s="43" t="s">
        <v>103</v>
      </c>
      <c r="C220" s="6" t="s">
        <v>47</v>
      </c>
      <c r="D220" s="44">
        <f t="shared" si="18"/>
        <v>4</v>
      </c>
      <c r="E220" s="6" t="s">
        <v>61</v>
      </c>
      <c r="F220" s="9">
        <f>Y220+SUMIFS('บันทึกของเข้า-ออก'!$J:$J,'บันทึกของเข้า-ออก'!$B:$B,สรุป!$C220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0" s="9">
        <f>Z220+SUMIFS('บันทึกของเข้า-ออก'!$J:$J,'บันทึกของเข้า-ออก'!$B:$B,สรุป!$C220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20" s="9">
        <f>AA220+SUMIFS('บันทึกของเข้า-ออก'!$J:$J,'บันทึกของเข้า-ออก'!$B:$B,สรุป!$C220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20" s="9">
        <f>AB220+SUMIFS('บันทึกของเข้า-ออก'!$J:$J,'บันทึกของเข้า-ออก'!$B:$B,สรุป!$C220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0" s="9">
        <f>AC220+SUMIFS('บันทึกของเข้า-ออก'!$J:$J,'บันทึกของเข้า-ออก'!$B:$B,สรุป!$C220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0" s="9">
        <f>AD220+SUMIFS('บันทึกของเข้า-ออก'!$J:$J,'บันทึกของเข้า-ออก'!$B:$B,สรุป!$C220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0" s="9">
        <f>AE220+SUMIFS('บันทึกของเข้า-ออก'!$J:$J,'บันทึกของเข้า-ออก'!$B:$B,สรุป!$C220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0" s="9">
        <f>AF220+SUMIFS('บันทึกของเข้า-ออก'!$J:$J,'บันทึกของเข้า-ออก'!$B:$B,สรุป!$C220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20" s="9">
        <f>AG220+SUMIFS('บันทึกของเข้า-ออก'!$J:$J,'บันทึกของเข้า-ออก'!$B:$B,สรุป!$C220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0" s="9">
        <f>AH220+SUMIFS('บันทึกของเข้า-ออก'!$J:$J,'บันทึกของเข้า-ออก'!$B:$B,สรุป!$C220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20" s="9">
        <f>AI220+SUMIFS('บันทึกของเข้า-ออก'!$J:$J,'บันทึกของเข้า-ออก'!$B:$B,สรุป!$C220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0" s="9">
        <f>AJ220+SUMIFS('บันทึกของเข้า-ออก'!$J:$J,'บันทึกของเข้า-ออก'!$B:$B,สรุป!$C220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0" s="9">
        <f>AK220+SUMIFS('บันทึกของเข้า-ออก'!$J:$J,'บันทึกของเข้า-ออก'!$B:$B,สรุป!$C220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0" s="26"/>
      <c r="T220" s="33"/>
      <c r="U220" s="34"/>
      <c r="V220" s="25" t="str">
        <f t="shared" si="19"/>
        <v>เครื่องดัดเหล็ก</v>
      </c>
      <c r="W220" s="79">
        <v>4</v>
      </c>
      <c r="X220" s="35" t="s">
        <v>61</v>
      </c>
      <c r="Y220" s="26">
        <v>0</v>
      </c>
      <c r="Z220" s="26">
        <v>0</v>
      </c>
      <c r="AA220" s="26">
        <v>1</v>
      </c>
      <c r="AB220" s="26">
        <v>0</v>
      </c>
      <c r="AC220" s="26">
        <v>0</v>
      </c>
      <c r="AD220" s="26">
        <v>0</v>
      </c>
      <c r="AE220" s="26">
        <v>0</v>
      </c>
      <c r="AF220" s="26">
        <v>1</v>
      </c>
      <c r="AG220" s="26">
        <v>0</v>
      </c>
      <c r="AH220" s="26">
        <v>1</v>
      </c>
      <c r="AI220" s="26">
        <v>0</v>
      </c>
      <c r="AJ220" s="26">
        <v>0</v>
      </c>
      <c r="AK220" s="26">
        <v>1</v>
      </c>
      <c r="AL220" s="34"/>
    </row>
    <row r="221" spans="2:38" x14ac:dyDescent="0.3">
      <c r="B221" s="43" t="s">
        <v>103</v>
      </c>
      <c r="C221" s="6" t="s">
        <v>212</v>
      </c>
      <c r="D221" s="44">
        <f t="shared" si="18"/>
        <v>2</v>
      </c>
      <c r="E221" s="6" t="s">
        <v>61</v>
      </c>
      <c r="F221" s="9">
        <f>Y221+SUMIFS('บันทึกของเข้า-ออก'!$J:$J,'บันทึกของเข้า-ออก'!$B:$B,สรุป!$C221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1" s="9">
        <f>Z221+SUMIFS('บันทึกของเข้า-ออก'!$J:$J,'บันทึกของเข้า-ออก'!$B:$B,สรุป!$C221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1" s="9">
        <f>AA221+SUMIFS('บันทึกของเข้า-ออก'!$J:$J,'บันทึกของเข้า-ออก'!$B:$B,สรุป!$C221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H$5,'บันทึกของเข้า-ออก'!$D:$D,"&gt;="&amp;สรุป!$F$2,'บันทึกของเข้า-ออก'!$D:$D,"&lt;="&amp;สรุป!$G$2)</f>
        <v>2</v>
      </c>
      <c r="I221" s="9">
        <f>AB221+SUMIFS('บันทึกของเข้า-ออก'!$J:$J,'บันทึกของเข้า-ออก'!$B:$B,สรุป!$C221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1" s="9">
        <f>AC221+SUMIFS('บันทึกของเข้า-ออก'!$J:$J,'บันทึกของเข้า-ออก'!$B:$B,สรุป!$C221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1" s="9">
        <f>AD221+SUMIFS('บันทึกของเข้า-ออก'!$J:$J,'บันทึกของเข้า-ออก'!$B:$B,สรุป!$C221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1" s="9">
        <f>AE221+SUMIFS('บันทึกของเข้า-ออก'!$J:$J,'บันทึกของเข้า-ออก'!$B:$B,สรุป!$C221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1" s="9">
        <f>AF221+SUMIFS('บันทึกของเข้า-ออก'!$J:$J,'บันทึกของเข้า-ออก'!$B:$B,สรุป!$C221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21" s="9">
        <f>AG221+SUMIFS('บันทึกของเข้า-ออก'!$J:$J,'บันทึกของเข้า-ออก'!$B:$B,สรุป!$C221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1" s="9">
        <f>AH221+SUMIFS('บันทึกของเข้า-ออก'!$J:$J,'บันทึกของเข้า-ออก'!$B:$B,สรุป!$C221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1" s="9">
        <f>AI221+SUMIFS('บันทึกของเข้า-ออก'!$J:$J,'บันทึกของเข้า-ออก'!$B:$B,สรุป!$C221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1" s="9">
        <f>AJ221+SUMIFS('บันทึกของเข้า-ออก'!$J:$J,'บันทึกของเข้า-ออก'!$B:$B,สรุป!$C221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1" s="9">
        <f>AK221+SUMIFS('บันทึกของเข้า-ออก'!$J:$J,'บันทึกของเข้า-ออก'!$B:$B,สรุป!$C221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1" s="26"/>
      <c r="T221" s="33"/>
      <c r="U221" s="34"/>
      <c r="V221" s="25" t="str">
        <f t="shared" si="19"/>
        <v>เครื่องตัดเหล็ก</v>
      </c>
      <c r="W221" s="79">
        <v>2</v>
      </c>
      <c r="X221" s="35" t="s">
        <v>61</v>
      </c>
      <c r="Y221" s="26">
        <v>0</v>
      </c>
      <c r="Z221" s="26">
        <v>0</v>
      </c>
      <c r="AA221" s="26">
        <v>2</v>
      </c>
      <c r="AB221" s="26">
        <v>0</v>
      </c>
      <c r="AC221" s="26">
        <v>0</v>
      </c>
      <c r="AD221" s="26">
        <v>0</v>
      </c>
      <c r="AE221" s="26">
        <v>0</v>
      </c>
      <c r="AF221" s="26">
        <v>0</v>
      </c>
      <c r="AG221" s="26">
        <v>0</v>
      </c>
      <c r="AH221" s="26">
        <v>0</v>
      </c>
      <c r="AI221" s="26">
        <v>0</v>
      </c>
      <c r="AJ221" s="26">
        <v>0</v>
      </c>
      <c r="AK221" s="26">
        <v>0</v>
      </c>
      <c r="AL221" s="34"/>
    </row>
    <row r="222" spans="2:38" x14ac:dyDescent="0.3">
      <c r="B222" s="43" t="s">
        <v>103</v>
      </c>
      <c r="C222" s="6" t="s">
        <v>50</v>
      </c>
      <c r="D222" s="44">
        <f t="shared" si="18"/>
        <v>1</v>
      </c>
      <c r="E222" s="6" t="s">
        <v>56</v>
      </c>
      <c r="F222" s="9">
        <f>Y222+SUMIFS('บันทึกของเข้า-ออก'!$J:$J,'บันทึกของเข้า-ออก'!$B:$B,สรุป!$C222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2" s="9">
        <f>Z222+SUMIFS('บันทึกของเข้า-ออก'!$J:$J,'บันทึกของเข้า-ออก'!$B:$B,สรุป!$C222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2" s="9">
        <f>AA222+SUMIFS('บันทึกของเข้า-ออก'!$J:$J,'บันทึกของเข้า-ออก'!$B:$B,สรุป!$C222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22" s="9">
        <f>AB222+SUMIFS('บันทึกของเข้า-ออก'!$J:$J,'บันทึกของเข้า-ออก'!$B:$B,สรุป!$C222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2" s="9">
        <f>AC222+SUMIFS('บันทึกของเข้า-ออก'!$J:$J,'บันทึกของเข้า-ออก'!$B:$B,สรุป!$C222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2" s="9">
        <f>AD222+SUMIFS('บันทึกของเข้า-ออก'!$J:$J,'บันทึกของเข้า-ออก'!$B:$B,สรุป!$C222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2" s="9">
        <f>AE222+SUMIFS('บันทึกของเข้า-ออก'!$J:$J,'บันทึกของเข้า-ออก'!$B:$B,สรุป!$C222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2" s="9">
        <f>AF222+SUMIFS('บันทึกของเข้า-ออก'!$J:$J,'บันทึกของเข้า-ออก'!$B:$B,สรุป!$C222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22" s="9">
        <f>AG222+SUMIFS('บันทึกของเข้า-ออก'!$J:$J,'บันทึกของเข้า-ออก'!$B:$B,สรุป!$C222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2" s="9">
        <f>AH222+SUMIFS('บันทึกของเข้า-ออก'!$J:$J,'บันทึกของเข้า-ออก'!$B:$B,สรุป!$C222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2" s="9">
        <f>AI222+SUMIFS('บันทึกของเข้า-ออก'!$J:$J,'บันทึกของเข้า-ออก'!$B:$B,สรุป!$C222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2" s="9">
        <f>AJ222+SUMIFS('บันทึกของเข้า-ออก'!$J:$J,'บันทึกของเข้า-ออก'!$B:$B,สรุป!$C222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2" s="9">
        <f>AK222+SUMIFS('บันทึกของเข้า-ออก'!$J:$J,'บันทึกของเข้า-ออก'!$B:$B,สรุป!$C222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2" s="70" t="s">
        <v>290</v>
      </c>
      <c r="T222" s="33"/>
      <c r="U222" s="34"/>
      <c r="V222" s="25" t="str">
        <f t="shared" si="19"/>
        <v>เครื่องดูดฝุ่น</v>
      </c>
      <c r="W222" s="79">
        <v>1</v>
      </c>
      <c r="X222" s="35" t="s">
        <v>56</v>
      </c>
      <c r="Y222" s="26">
        <v>0</v>
      </c>
      <c r="Z222" s="26">
        <v>0</v>
      </c>
      <c r="AA222" s="26">
        <v>1</v>
      </c>
      <c r="AB222" s="26">
        <v>0</v>
      </c>
      <c r="AC222" s="26">
        <v>0</v>
      </c>
      <c r="AD222" s="26">
        <v>0</v>
      </c>
      <c r="AE222" s="26">
        <v>0</v>
      </c>
      <c r="AF222" s="26">
        <v>0</v>
      </c>
      <c r="AG222" s="26">
        <v>0</v>
      </c>
      <c r="AH222" s="26">
        <v>0</v>
      </c>
      <c r="AI222" s="26">
        <v>0</v>
      </c>
      <c r="AJ222" s="26">
        <v>0</v>
      </c>
      <c r="AK222" s="26">
        <v>0</v>
      </c>
      <c r="AL222" s="34"/>
    </row>
    <row r="223" spans="2:38" x14ac:dyDescent="0.3">
      <c r="B223" s="43" t="s">
        <v>103</v>
      </c>
      <c r="C223" s="6" t="s">
        <v>123</v>
      </c>
      <c r="D223" s="44">
        <f t="shared" si="18"/>
        <v>1</v>
      </c>
      <c r="E223" s="6" t="s">
        <v>56</v>
      </c>
      <c r="F223" s="9">
        <f>Y223+SUMIFS('บันทึกของเข้า-ออก'!$J:$J,'บันทึกของเข้า-ออก'!$B:$B,สรุป!$C223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3" s="9">
        <f>Z223+SUMIFS('บันทึกของเข้า-ออก'!$J:$J,'บันทึกของเข้า-ออก'!$B:$B,สรุป!$C223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3" s="9">
        <f>AA223+SUMIFS('บันทึกของเข้า-ออก'!$J:$J,'บันทึกของเข้า-ออก'!$B:$B,สรุป!$C223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23" s="9">
        <f>AB223+SUMIFS('บันทึกของเข้า-ออก'!$J:$J,'บันทึกของเข้า-ออก'!$B:$B,สรุป!$C223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3" s="9">
        <f>AC223+SUMIFS('บันทึกของเข้า-ออก'!$J:$J,'บันทึกของเข้า-ออก'!$B:$B,สรุป!$C223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3" s="9">
        <f>AD223+SUMIFS('บันทึกของเข้า-ออก'!$J:$J,'บันทึกของเข้า-ออก'!$B:$B,สรุป!$C223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3" s="9">
        <f>AE223+SUMIFS('บันทึกของเข้า-ออก'!$J:$J,'บันทึกของเข้า-ออก'!$B:$B,สรุป!$C223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3" s="9">
        <f>AF223+SUMIFS('บันทึกของเข้า-ออก'!$J:$J,'บันทึกของเข้า-ออก'!$B:$B,สรุป!$C223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23" s="9">
        <f>AG223+SUMIFS('บันทึกของเข้า-ออก'!$J:$J,'บันทึกของเข้า-ออก'!$B:$B,สรุป!$C223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3" s="9">
        <f>AH223+SUMIFS('บันทึกของเข้า-ออก'!$J:$J,'บันทึกของเข้า-ออก'!$B:$B,สรุป!$C223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3" s="9">
        <f>AI223+SUMIFS('บันทึกของเข้า-ออก'!$J:$J,'บันทึกของเข้า-ออก'!$B:$B,สรุป!$C223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3" s="9">
        <f>AJ223+SUMIFS('บันทึกของเข้า-ออก'!$J:$J,'บันทึกของเข้า-ออก'!$B:$B,สรุป!$C223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3" s="9">
        <f>AK223+SUMIFS('บันทึกของเข้า-ออก'!$J:$J,'บันทึกของเข้า-ออก'!$B:$B,สรุป!$C223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3" s="26"/>
      <c r="T223" s="33"/>
      <c r="U223" s="34"/>
      <c r="V223" s="25" t="str">
        <f t="shared" ref="V223:V262" si="20">C223</f>
        <v>เครื่องปันไฟ</v>
      </c>
      <c r="W223" s="79">
        <v>1</v>
      </c>
      <c r="X223" s="35" t="s">
        <v>56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6">
        <v>0</v>
      </c>
      <c r="AE223" s="26">
        <v>0</v>
      </c>
      <c r="AF223" s="26">
        <v>1</v>
      </c>
      <c r="AG223" s="26">
        <v>0</v>
      </c>
      <c r="AH223" s="26">
        <v>0</v>
      </c>
      <c r="AI223" s="26">
        <v>0</v>
      </c>
      <c r="AJ223" s="26">
        <v>0</v>
      </c>
      <c r="AK223" s="26">
        <v>0</v>
      </c>
      <c r="AL223" s="34"/>
    </row>
    <row r="224" spans="2:38" x14ac:dyDescent="0.3">
      <c r="B224" s="43" t="s">
        <v>103</v>
      </c>
      <c r="C224" s="6" t="s">
        <v>336</v>
      </c>
      <c r="D224" s="44">
        <f t="shared" si="18"/>
        <v>1</v>
      </c>
      <c r="E224" s="6" t="s">
        <v>61</v>
      </c>
      <c r="F224" s="9">
        <f>Y224+SUMIFS('บันทึกของเข้า-ออก'!$J:$J,'บันทึกของเข้า-ออก'!$B:$B,สรุป!$C224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4" s="9">
        <f>Z224+SUMIFS('บันทึกของเข้า-ออก'!$J:$J,'บันทึกของเข้า-ออก'!$B:$B,สรุป!$C224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4" s="9">
        <f>AA224+SUMIFS('บันทึกของเข้า-ออก'!$J:$J,'บันทึกของเข้า-ออก'!$B:$B,สรุป!$C224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24" s="9">
        <f>AB224+SUMIFS('บันทึกของเข้า-ออก'!$J:$J,'บันทึกของเข้า-ออก'!$B:$B,สรุป!$C224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4" s="9">
        <f>AC224+SUMIFS('บันทึกของเข้า-ออก'!$J:$J,'บันทึกของเข้า-ออก'!$B:$B,สรุป!$C224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4" s="9">
        <f>AD224+SUMIFS('บันทึกของเข้า-ออก'!$J:$J,'บันทึกของเข้า-ออก'!$B:$B,สรุป!$C224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4" s="9">
        <f>AE224+SUMIFS('บันทึกของเข้า-ออก'!$J:$J,'บันทึกของเข้า-ออก'!$B:$B,สรุป!$C224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4" s="9">
        <f>AF224+SUMIFS('บันทึกของเข้า-ออก'!$J:$J,'บันทึกของเข้า-ออก'!$B:$B,สรุป!$C224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24" s="9">
        <f>AG224+SUMIFS('บันทึกของเข้า-ออก'!$J:$J,'บันทึกของเข้า-ออก'!$B:$B,สรุป!$C224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4" s="9">
        <f>AH224+SUMIFS('บันทึกของเข้า-ออก'!$J:$J,'บันทึกของเข้า-ออก'!$B:$B,สรุป!$C224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4" s="9">
        <f>AI224+SUMIFS('บันทึกของเข้า-ออก'!$J:$J,'บันทึกของเข้า-ออก'!$B:$B,สรุป!$C224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4" s="9">
        <f>AJ224+SUMIFS('บันทึกของเข้า-ออก'!$J:$J,'บันทึกของเข้า-ออก'!$B:$B,สรุป!$C224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4" s="9">
        <f>AK224+SUMIFS('บันทึกของเข้า-ออก'!$J:$J,'บันทึกของเข้า-ออก'!$B:$B,สรุป!$C224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4" s="26"/>
      <c r="T224" s="33"/>
      <c r="U224" s="34"/>
      <c r="V224" s="6" t="s">
        <v>335</v>
      </c>
      <c r="W224" s="79"/>
      <c r="X224" s="35" t="s">
        <v>61</v>
      </c>
      <c r="Y224" s="26">
        <v>0</v>
      </c>
      <c r="Z224" s="26">
        <v>0</v>
      </c>
      <c r="AA224" s="26">
        <v>1</v>
      </c>
      <c r="AB224" s="26">
        <v>0</v>
      </c>
      <c r="AC224" s="26">
        <v>0</v>
      </c>
      <c r="AD224" s="26">
        <v>0</v>
      </c>
      <c r="AE224" s="26">
        <v>0</v>
      </c>
      <c r="AF224" s="26">
        <v>0</v>
      </c>
      <c r="AG224" s="26">
        <v>0</v>
      </c>
      <c r="AH224" s="26">
        <v>0</v>
      </c>
      <c r="AI224" s="26">
        <v>0</v>
      </c>
      <c r="AJ224" s="26">
        <v>0</v>
      </c>
      <c r="AK224" s="26">
        <v>0</v>
      </c>
      <c r="AL224" s="34"/>
    </row>
    <row r="225" spans="2:38" x14ac:dyDescent="0.3">
      <c r="B225" s="43" t="s">
        <v>103</v>
      </c>
      <c r="C225" s="6" t="s">
        <v>342</v>
      </c>
      <c r="D225" s="44">
        <f t="shared" si="18"/>
        <v>0</v>
      </c>
      <c r="E225" s="6" t="s">
        <v>251</v>
      </c>
      <c r="F225" s="9">
        <f>Y225+SUMIFS('บันทึกของเข้า-ออก'!$J:$J,'บันทึกของเข้า-ออก'!$B:$B,สรุป!$C225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5" s="9">
        <f>Z225+SUMIFS('บันทึกของเข้า-ออก'!$J:$J,'บันทึกของเข้า-ออก'!$B:$B,สรุป!$C225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5" s="9">
        <f>AA225+SUMIFS('บันทึกของเข้า-ออก'!$J:$J,'บันทึกของเข้า-ออก'!$B:$B,สรุป!$C225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25" s="9">
        <f>AB225+SUMIFS('บันทึกของเข้า-ออก'!$J:$J,'บันทึกของเข้า-ออก'!$B:$B,สรุป!$C225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5" s="9">
        <f>AC225+SUMIFS('บันทึกของเข้า-ออก'!$J:$J,'บันทึกของเข้า-ออก'!$B:$B,สรุป!$C225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5" s="9">
        <f>AD225+SUMIFS('บันทึกของเข้า-ออก'!$J:$J,'บันทึกของเข้า-ออก'!$B:$B,สรุป!$C225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5" s="9">
        <f>AE225+SUMIFS('บันทึกของเข้า-ออก'!$J:$J,'บันทึกของเข้า-ออก'!$B:$B,สรุป!$C225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5" s="9">
        <f>AF225+SUMIFS('บันทึกของเข้า-ออก'!$J:$J,'บันทึกของเข้า-ออก'!$B:$B,สรุป!$C225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25" s="9">
        <f>AG225+SUMIFS('บันทึกของเข้า-ออก'!$J:$J,'บันทึกของเข้า-ออก'!$B:$B,สรุป!$C225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5" s="9">
        <f>AH225+SUMIFS('บันทึกของเข้า-ออก'!$J:$J,'บันทึกของเข้า-ออก'!$B:$B,สรุป!$C225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5" s="9">
        <f>AI225+SUMIFS('บันทึกของเข้า-ออก'!$J:$J,'บันทึกของเข้า-ออก'!$B:$B,สรุป!$C225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5" s="9">
        <f>AJ225+SUMIFS('บันทึกของเข้า-ออก'!$J:$J,'บันทึกของเข้า-ออก'!$B:$B,สรุป!$C225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5" s="9">
        <f>AK225+SUMIFS('บันทึกของเข้า-ออก'!$J:$J,'บันทึกของเข้า-ออก'!$B:$B,สรุป!$C225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5" s="26"/>
      <c r="T225" s="33"/>
      <c r="U225" s="34"/>
      <c r="V225" s="25" t="str">
        <f t="shared" si="20"/>
        <v>ใบตัดไฟเบอร์</v>
      </c>
      <c r="W225" s="44"/>
      <c r="X225" s="35" t="s">
        <v>251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6">
        <v>0</v>
      </c>
      <c r="AE225" s="26">
        <v>0</v>
      </c>
      <c r="AF225" s="26">
        <v>0</v>
      </c>
      <c r="AG225" s="26">
        <v>0</v>
      </c>
      <c r="AH225" s="26">
        <v>0</v>
      </c>
      <c r="AI225" s="26">
        <v>0</v>
      </c>
      <c r="AJ225" s="26">
        <v>0</v>
      </c>
      <c r="AK225" s="26">
        <v>0</v>
      </c>
      <c r="AL225" s="34"/>
    </row>
    <row r="226" spans="2:38" x14ac:dyDescent="0.3">
      <c r="B226" s="43" t="s">
        <v>103</v>
      </c>
      <c r="C226" s="6" t="s">
        <v>289</v>
      </c>
      <c r="D226" s="44">
        <f t="shared" ref="D226:D285" si="21">SUMIF(F226:T226,"&gt;0")</f>
        <v>1</v>
      </c>
      <c r="E226" s="6" t="s">
        <v>56</v>
      </c>
      <c r="F226" s="9">
        <f>Y226+SUMIFS('บันทึกของเข้า-ออก'!$J:$J,'บันทึกของเข้า-ออก'!$B:$B,สรุป!$C226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6" s="9">
        <f>Z226+SUMIFS('บันทึกของเข้า-ออก'!$J:$J,'บันทึกของเข้า-ออก'!$B:$B,สรุป!$C226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6" s="9">
        <f>AA226+SUMIFS('บันทึกของเข้า-ออก'!$J:$J,'บันทึกของเข้า-ออก'!$B:$B,สรุป!$C226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26" s="9">
        <f>AB226+SUMIFS('บันทึกของเข้า-ออก'!$J:$J,'บันทึกของเข้า-ออก'!$B:$B,สรุป!$C226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6" s="9">
        <f>AC226+SUMIFS('บันทึกของเข้า-ออก'!$J:$J,'บันทึกของเข้า-ออก'!$B:$B,สรุป!$C226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6" s="9">
        <f>AD226+SUMIFS('บันทึกของเข้า-ออก'!$J:$J,'บันทึกของเข้า-ออก'!$B:$B,สรุป!$C226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6" s="9">
        <f>AE226+SUMIFS('บันทึกของเข้า-ออก'!$J:$J,'บันทึกของเข้า-ออก'!$B:$B,สรุป!$C226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6" s="9">
        <f>AF226+SUMIFS('บันทึกของเข้า-ออก'!$J:$J,'บันทึกของเข้า-ออก'!$B:$B,สรุป!$C226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26" s="9">
        <f>AG226+SUMIFS('บันทึกของเข้า-ออก'!$J:$J,'บันทึกของเข้า-ออก'!$B:$B,สรุป!$C226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6" s="9">
        <f>AH226+SUMIFS('บันทึกของเข้า-ออก'!$J:$J,'บันทึกของเข้า-ออก'!$B:$B,สรุป!$C226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6" s="9">
        <f>AI226+SUMIFS('บันทึกของเข้า-ออก'!$J:$J,'บันทึกของเข้า-ออก'!$B:$B,สรุป!$C226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6" s="9">
        <f>AJ226+SUMIFS('บันทึกของเข้า-ออก'!$J:$J,'บันทึกของเข้า-ออก'!$B:$B,สรุป!$C226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6" s="9">
        <f>AK226+SUMIFS('บันทึกของเข้า-ออก'!$J:$J,'บันทึกของเข้า-ออก'!$B:$B,สรุป!$C226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6" s="26"/>
      <c r="T226" s="33"/>
      <c r="U226" s="34"/>
      <c r="V226" s="25" t="str">
        <f t="shared" si="20"/>
        <v>เลื่อยยนตร์ (เลื่อยตัดไม้)</v>
      </c>
      <c r="W226" s="79">
        <v>1</v>
      </c>
      <c r="X226" s="35" t="s">
        <v>56</v>
      </c>
      <c r="Y226" s="26">
        <v>0</v>
      </c>
      <c r="Z226" s="26">
        <v>0</v>
      </c>
      <c r="AA226" s="26">
        <v>1</v>
      </c>
      <c r="AB226" s="26">
        <v>0</v>
      </c>
      <c r="AC226" s="26">
        <v>0</v>
      </c>
      <c r="AD226" s="26">
        <v>0</v>
      </c>
      <c r="AE226" s="26">
        <v>0</v>
      </c>
      <c r="AF226" s="26">
        <v>0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34"/>
    </row>
    <row r="227" spans="2:38" x14ac:dyDescent="0.3">
      <c r="B227" s="43" t="s">
        <v>103</v>
      </c>
      <c r="C227" s="6" t="s">
        <v>184</v>
      </c>
      <c r="D227" s="44">
        <f t="shared" si="21"/>
        <v>1</v>
      </c>
      <c r="E227" s="6" t="s">
        <v>56</v>
      </c>
      <c r="F227" s="9">
        <f>Y227+SUMIFS('บันทึกของเข้า-ออก'!$J:$J,'บันทึกของเข้า-ออก'!$B:$B,สรุป!$C227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7" s="9">
        <f>Z227+SUMIFS('บันทึกของเข้า-ออก'!$J:$J,'บันทึกของเข้า-ออก'!$B:$B,สรุป!$C227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7" s="9">
        <f>AA227+SUMIFS('บันทึกของเข้า-ออก'!$J:$J,'บันทึกของเข้า-ออก'!$B:$B,สรุป!$C227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27" s="9">
        <f>AB227+SUMIFS('บันทึกของเข้า-ออก'!$J:$J,'บันทึกของเข้า-ออก'!$B:$B,สรุป!$C227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7" s="9">
        <f>AC227+SUMIFS('บันทึกของเข้า-ออก'!$J:$J,'บันทึกของเข้า-ออก'!$B:$B,สรุป!$C227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7" s="9">
        <f>AD227+SUMIFS('บันทึกของเข้า-ออก'!$J:$J,'บันทึกของเข้า-ออก'!$B:$B,สรุป!$C227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7" s="9">
        <f>AE227+SUMIFS('บันทึกของเข้า-ออก'!$J:$J,'บันทึกของเข้า-ออก'!$B:$B,สรุป!$C227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7" s="9">
        <f>AF227+SUMIFS('บันทึกของเข้า-ออก'!$J:$J,'บันทึกของเข้า-ออก'!$B:$B,สรุป!$C227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27" s="9">
        <f>AG227+SUMIFS('บันทึกของเข้า-ออก'!$J:$J,'บันทึกของเข้า-ออก'!$B:$B,สรุป!$C227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27" s="9">
        <f>AH227+SUMIFS('บันทึกของเข้า-ออก'!$J:$J,'บันทึกของเข้า-ออก'!$B:$B,สรุป!$C227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7" s="9">
        <f>AI227+SUMIFS('บันทึกของเข้า-ออก'!$J:$J,'บันทึกของเข้า-ออก'!$B:$B,สรุป!$C227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7" s="9">
        <f>AJ227+SUMIFS('บันทึกของเข้า-ออก'!$J:$J,'บันทึกของเข้า-ออก'!$B:$B,สรุป!$C227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7" s="9">
        <f>AK227+SUMIFS('บันทึกของเข้า-ออก'!$J:$J,'บันทึกของเข้า-ออก'!$B:$B,สรุป!$C227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7" s="26"/>
      <c r="T227" s="33"/>
      <c r="U227" s="34"/>
      <c r="V227" s="25" t="str">
        <f t="shared" si="20"/>
        <v>เลื่อยจิ๊กซอร์</v>
      </c>
      <c r="W227" s="79">
        <v>1</v>
      </c>
      <c r="X227" s="35" t="s">
        <v>56</v>
      </c>
      <c r="Y227" s="26">
        <v>0</v>
      </c>
      <c r="Z227" s="26">
        <v>0</v>
      </c>
      <c r="AA227" s="26">
        <v>1</v>
      </c>
      <c r="AB227" s="26">
        <v>0</v>
      </c>
      <c r="AC227" s="26">
        <v>0</v>
      </c>
      <c r="AD227" s="26">
        <v>0</v>
      </c>
      <c r="AE227" s="26">
        <v>0</v>
      </c>
      <c r="AF227" s="26">
        <v>0</v>
      </c>
      <c r="AG227" s="26">
        <v>0</v>
      </c>
      <c r="AH227" s="26">
        <v>0</v>
      </c>
      <c r="AI227" s="26">
        <v>0</v>
      </c>
      <c r="AJ227" s="26">
        <v>0</v>
      </c>
      <c r="AK227" s="26">
        <v>0</v>
      </c>
      <c r="AL227" s="34"/>
    </row>
    <row r="228" spans="2:38" x14ac:dyDescent="0.3">
      <c r="B228" s="43" t="s">
        <v>103</v>
      </c>
      <c r="C228" s="6" t="s">
        <v>237</v>
      </c>
      <c r="D228" s="44">
        <f t="shared" si="21"/>
        <v>5</v>
      </c>
      <c r="E228" s="6" t="s">
        <v>56</v>
      </c>
      <c r="F228" s="9">
        <f>Y228+SUMIFS('บันทึกของเข้า-ออก'!$J:$J,'บันทึกของเข้า-ออก'!$B:$B,สรุป!$C228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8" s="9">
        <f>Z228+SUMIFS('บันทึกของเข้า-ออก'!$J:$J,'บันทึกของเข้า-ออก'!$B:$B,สรุป!$C228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8" s="9">
        <f>AA228+SUMIFS('บันทึกของเข้า-ออก'!$J:$J,'บันทึกของเข้า-ออก'!$B:$B,สรุป!$C228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H$5,'บันทึกของเข้า-ออก'!$D:$D,"&gt;="&amp;สรุป!$F$2,'บันทึกของเข้า-ออก'!$D:$D,"&lt;="&amp;สรุป!$G$2)</f>
        <v>2</v>
      </c>
      <c r="I228" s="9">
        <f>AB228+SUMIFS('บันทึกของเข้า-ออก'!$J:$J,'บันทึกของเข้า-ออก'!$B:$B,สรุป!$C228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8" s="9">
        <f>AC228+SUMIFS('บันทึกของเข้า-ออก'!$J:$J,'บันทึกของเข้า-ออก'!$B:$B,สรุป!$C228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8" s="9">
        <f>AD228+SUMIFS('บันทึกของเข้า-ออก'!$J:$J,'บันทึกของเข้า-ออก'!$B:$B,สรุป!$C228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8" s="9">
        <f>AE228+SUMIFS('บันทึกของเข้า-ออก'!$J:$J,'บันทึกของเข้า-ออก'!$B:$B,สรุป!$C228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8" s="9">
        <f>AF228+SUMIFS('บันทึกของเข้า-ออก'!$J:$J,'บันทึกของเข้า-ออก'!$B:$B,สรุป!$C228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28" s="9">
        <f>AG228+SUMIFS('บันทึกของเข้า-ออก'!$J:$J,'บันทึกของเข้า-ออก'!$B:$B,สรุป!$C228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228" s="9">
        <f>AH228+SUMIFS('บันทึกของเข้า-ออก'!$J:$J,'บันทึกของเข้า-ออก'!$B:$B,สรุป!$C228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28" s="9">
        <f>AI228+SUMIFS('บันทึกของเข้า-ออก'!$J:$J,'บันทึกของเข้า-ออก'!$B:$B,สรุป!$C228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8" s="9">
        <f>AJ228+SUMIFS('บันทึกของเข้า-ออก'!$J:$J,'บันทึกของเข้า-ออก'!$B:$B,สรุป!$C228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8" s="9">
        <f>AK228+SUMIFS('บันทึกของเข้า-ออก'!$J:$J,'บันทึกของเข้า-ออก'!$B:$B,สรุป!$C228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8" s="26"/>
      <c r="T228" s="33"/>
      <c r="U228" s="34"/>
      <c r="V228" s="25" t="str">
        <f t="shared" si="20"/>
        <v>เลื่อยวงเดือน 7 นิ้ว</v>
      </c>
      <c r="W228" s="79">
        <v>5</v>
      </c>
      <c r="X228" s="35" t="s">
        <v>56</v>
      </c>
      <c r="Y228" s="26">
        <v>0</v>
      </c>
      <c r="Z228" s="26">
        <v>0</v>
      </c>
      <c r="AA228" s="26">
        <v>2</v>
      </c>
      <c r="AB228" s="26">
        <v>0</v>
      </c>
      <c r="AC228" s="26">
        <v>0</v>
      </c>
      <c r="AD228" s="26">
        <v>0</v>
      </c>
      <c r="AE228" s="26">
        <v>0</v>
      </c>
      <c r="AF228" s="26">
        <v>1</v>
      </c>
      <c r="AG228" s="26">
        <v>1</v>
      </c>
      <c r="AH228" s="26">
        <v>1</v>
      </c>
      <c r="AI228" s="26">
        <v>0</v>
      </c>
      <c r="AJ228" s="26">
        <v>0</v>
      </c>
      <c r="AK228" s="26">
        <v>0</v>
      </c>
      <c r="AL228" s="34"/>
    </row>
    <row r="229" spans="2:38" x14ac:dyDescent="0.3">
      <c r="B229" s="43" t="s">
        <v>103</v>
      </c>
      <c r="C229" s="6" t="s">
        <v>267</v>
      </c>
      <c r="D229" s="44">
        <f t="shared" si="21"/>
        <v>1</v>
      </c>
      <c r="E229" s="6" t="s">
        <v>57</v>
      </c>
      <c r="F229" s="9">
        <f>Y229+SUMIFS('บันทึกของเข้า-ออก'!$J:$J,'บันทึกของเข้า-ออก'!$B:$B,สรุป!$C229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29" s="9">
        <f>Z229+SUMIFS('บันทึกของเข้า-ออก'!$J:$J,'บันทึกของเข้า-ออก'!$B:$B,สรุป!$C229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29" s="9">
        <f>AA229+SUMIFS('บันทึกของเข้า-ออก'!$J:$J,'บันทึกของเข้า-ออก'!$B:$B,สรุป!$C229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29" s="9">
        <f>AB229+SUMIFS('บันทึกของเข้า-ออก'!$J:$J,'บันทึกของเข้า-ออก'!$B:$B,สรุป!$C229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29" s="9">
        <f>AC229+SUMIFS('บันทึกของเข้า-ออก'!$J:$J,'บันทึกของเข้า-ออก'!$B:$B,สรุป!$C229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29" s="9">
        <f>AD229+SUMIFS('บันทึกของเข้า-ออก'!$J:$J,'บันทึกของเข้า-ออก'!$B:$B,สรุป!$C229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29" s="9">
        <f>AE229+SUMIFS('บันทึกของเข้า-ออก'!$J:$J,'บันทึกของเข้า-ออก'!$B:$B,สรุป!$C229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29" s="9">
        <f>AF229+SUMIFS('บันทึกของเข้า-ออก'!$J:$J,'บันทึกของเข้า-ออก'!$B:$B,สรุป!$C229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29" s="9">
        <f>AG229+SUMIFS('บันทึกของเข้า-ออก'!$J:$J,'บันทึกของเข้า-ออก'!$B:$B,สรุป!$C229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229" s="9">
        <f>AH229+SUMIFS('บันทึกของเข้า-ออก'!$J:$J,'บันทึกของเข้า-ออก'!$B:$B,สรุป!$C229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29" s="9">
        <f>AI229+SUMIFS('บันทึกของเข้า-ออก'!$J:$J,'บันทึกของเข้า-ออก'!$B:$B,สรุป!$C229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29" s="9">
        <f>AJ229+SUMIFS('บันทึกของเข้า-ออก'!$J:$J,'บันทึกของเข้า-ออก'!$B:$B,สรุป!$C229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29" s="9">
        <f>AK229+SUMIFS('บันทึกของเข้า-ออก'!$J:$J,'บันทึกของเข้า-ออก'!$B:$B,สรุป!$C229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229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29" s="26"/>
      <c r="T229" s="33"/>
      <c r="U229" s="34"/>
      <c r="V229" s="25" t="str">
        <f t="shared" si="20"/>
        <v>สายลมแก๊ส 25 เมตร</v>
      </c>
      <c r="W229" s="79">
        <v>1</v>
      </c>
      <c r="X229" s="35" t="s">
        <v>57</v>
      </c>
      <c r="Y229" s="26">
        <v>0</v>
      </c>
      <c r="Z229" s="26">
        <v>0</v>
      </c>
      <c r="AA229" s="26">
        <v>0</v>
      </c>
      <c r="AB229" s="26">
        <v>0</v>
      </c>
      <c r="AC229" s="26">
        <v>0</v>
      </c>
      <c r="AD229" s="26">
        <v>0</v>
      </c>
      <c r="AE229" s="26">
        <v>0</v>
      </c>
      <c r="AF229" s="26">
        <v>0</v>
      </c>
      <c r="AG229" s="26">
        <v>1</v>
      </c>
      <c r="AH229" s="26">
        <v>0</v>
      </c>
      <c r="AI229" s="26">
        <v>0</v>
      </c>
      <c r="AJ229" s="26">
        <v>0</v>
      </c>
      <c r="AK229" s="26">
        <v>0</v>
      </c>
      <c r="AL229" s="34"/>
    </row>
    <row r="230" spans="2:38" x14ac:dyDescent="0.3">
      <c r="B230" s="43" t="s">
        <v>103</v>
      </c>
      <c r="C230" s="6" t="s">
        <v>282</v>
      </c>
      <c r="D230" s="44">
        <f t="shared" si="21"/>
        <v>0</v>
      </c>
      <c r="E230" s="6" t="s">
        <v>60</v>
      </c>
      <c r="F230" s="9">
        <f>Y230+SUMIFS('บันทึกของเข้า-ออก'!$J:$J,'บันทึกของเข้า-ออก'!$B:$B,สรุป!$C230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0" s="9">
        <f>Z230+SUMIFS('บันทึกของเข้า-ออก'!$J:$J,'บันทึกของเข้า-ออก'!$B:$B,สรุป!$C230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30" s="9">
        <f>AA230+SUMIFS('บันทึกของเข้า-ออก'!$J:$J,'บันทึกของเข้า-ออก'!$B:$B,สรุป!$C230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0" s="9">
        <f>AB230+SUMIFS('บันทึกของเข้า-ออก'!$J:$J,'บันทึกของเข้า-ออก'!$B:$B,สรุป!$C230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0" s="9">
        <f>AC230+SUMIFS('บันทึกของเข้า-ออก'!$J:$J,'บันทึกของเข้า-ออก'!$B:$B,สรุป!$C230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0" s="9">
        <f>AD230+SUMIFS('บันทึกของเข้า-ออก'!$J:$J,'บันทึกของเข้า-ออก'!$B:$B,สรุป!$C230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0" s="9">
        <f>AE230+SUMIFS('บันทึกของเข้า-ออก'!$J:$J,'บันทึกของเข้า-ออก'!$B:$B,สรุป!$C230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0" s="9">
        <f>AF230+SUMIFS('บันทึกของเข้า-ออก'!$J:$J,'บันทึกของเข้า-ออก'!$B:$B,สรุป!$C230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0" s="9">
        <f>AG230+SUMIFS('บันทึกของเข้า-ออก'!$J:$J,'บันทึกของเข้า-ออก'!$B:$B,สรุป!$C230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0" s="9">
        <f>AH230+SUMIFS('บันทึกของเข้า-ออก'!$J:$J,'บันทึกของเข้า-ออก'!$B:$B,สรุป!$C230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30" s="9">
        <f>AI230+SUMIFS('บันทึกของเข้า-ออก'!$J:$J,'บันทึกของเข้า-ออก'!$B:$B,สรุป!$C230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0" s="9">
        <f>AJ230+SUMIFS('บันทึกของเข้า-ออก'!$J:$J,'บันทึกของเข้า-ออก'!$B:$B,สรุป!$C230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0" s="9">
        <f>AK230+SUMIFS('บันทึกของเข้า-ออก'!$J:$J,'บันทึกของเข้า-ออก'!$B:$B,สรุป!$C230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0" s="26"/>
      <c r="T230" s="33"/>
      <c r="U230" s="34"/>
      <c r="V230" s="25" t="str">
        <f t="shared" si="20"/>
        <v>ชุดตัดแก๊ส</v>
      </c>
      <c r="W230" s="79">
        <v>1</v>
      </c>
      <c r="X230" s="35" t="s">
        <v>60</v>
      </c>
      <c r="Y230" s="26">
        <v>0</v>
      </c>
      <c r="Z230" s="26">
        <v>0</v>
      </c>
      <c r="AA230" s="26">
        <v>0</v>
      </c>
      <c r="AB230" s="26">
        <v>0</v>
      </c>
      <c r="AC230" s="26">
        <v>0</v>
      </c>
      <c r="AD230" s="26">
        <v>0</v>
      </c>
      <c r="AE230" s="26">
        <v>0</v>
      </c>
      <c r="AF230" s="26">
        <v>0</v>
      </c>
      <c r="AG230" s="26">
        <v>0</v>
      </c>
      <c r="AH230" s="26">
        <v>0</v>
      </c>
      <c r="AI230" s="26">
        <v>0</v>
      </c>
      <c r="AJ230" s="26">
        <v>0</v>
      </c>
      <c r="AK230" s="26">
        <v>0</v>
      </c>
      <c r="AL230" s="34"/>
    </row>
    <row r="231" spans="2:38" x14ac:dyDescent="0.3">
      <c r="B231" s="43" t="s">
        <v>103</v>
      </c>
      <c r="C231" s="6" t="s">
        <v>236</v>
      </c>
      <c r="D231" s="44">
        <f t="shared" si="21"/>
        <v>7</v>
      </c>
      <c r="E231" s="6" t="s">
        <v>56</v>
      </c>
      <c r="F231" s="9">
        <f>Y231+SUMIFS('บันทึกของเข้า-ออก'!$J:$J,'บันทึกของเข้า-ออก'!$B:$B,สรุป!$C231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1" s="9">
        <v>2</v>
      </c>
      <c r="H231" s="9">
        <f>AA231+SUMIFS('บันทึกของเข้า-ออก'!$J:$J,'บันทึกของเข้า-ออก'!$B:$B,สรุป!$C231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1" s="9">
        <f>AB231+SUMIFS('บันทึกของเข้า-ออก'!$J:$J,'บันทึกของเข้า-ออก'!$B:$B,สรุป!$C231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1" s="9">
        <f>AC231+SUMIFS('บันทึกของเข้า-ออก'!$J:$J,'บันทึกของเข้า-ออก'!$B:$B,สรุป!$C231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J$5,'บันทึกของเข้า-ออก'!$D:$D,"&gt;="&amp;สรุป!$F$2,'บันทึกของเข้า-ออก'!$D:$D,"&lt;="&amp;สรุป!$G$2)</f>
        <v>2</v>
      </c>
      <c r="K231" s="9">
        <f>AD231+SUMIFS('บันทึกของเข้า-ออก'!$J:$J,'บันทึกของเข้า-ออก'!$B:$B,สรุป!$C231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1" s="9">
        <f>AE231+SUMIFS('บันทึกของเข้า-ออก'!$J:$J,'บันทึกของเข้า-ออก'!$B:$B,สรุป!$C231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1" s="9">
        <f>AF231+SUMIFS('บันทึกของเข้า-ออก'!$J:$J,'บันทึกของเข้า-ออก'!$B:$B,สรุป!$C231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31" s="9">
        <f>AG231+SUMIFS('บันทึกของเข้า-ออก'!$J:$J,'บันทึกของเข้า-ออก'!$B:$B,สรุป!$C231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1" s="9">
        <f>AH231+SUMIFS('บันทึกของเข้า-ออก'!$J:$J,'บันทึกของเข้า-ออก'!$B:$B,สรุป!$C231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31" s="9">
        <f>AI231+SUMIFS('บันทึกของเข้า-ออก'!$J:$J,'บันทึกของเข้า-ออก'!$B:$B,สรุป!$C231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1" s="9">
        <f>AJ231+SUMIFS('บันทึกของเข้า-ออก'!$J:$J,'บันทึกของเข้า-ออก'!$B:$B,สรุป!$C231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1" s="9"/>
      <c r="S231" s="26"/>
      <c r="T231" s="33"/>
      <c r="U231" s="34"/>
      <c r="V231" s="25" t="str">
        <f t="shared" si="20"/>
        <v>แย็กไฟฟ้า 10 kg</v>
      </c>
      <c r="W231" s="79">
        <v>7</v>
      </c>
      <c r="X231" s="35" t="s">
        <v>56</v>
      </c>
      <c r="Y231" s="26"/>
      <c r="Z231" s="26">
        <v>1</v>
      </c>
      <c r="AA231" s="26">
        <v>1</v>
      </c>
      <c r="AB231" s="26">
        <v>0</v>
      </c>
      <c r="AC231" s="26">
        <v>0</v>
      </c>
      <c r="AD231" s="26">
        <v>0</v>
      </c>
      <c r="AE231" s="26">
        <v>0</v>
      </c>
      <c r="AF231" s="26">
        <v>1</v>
      </c>
      <c r="AG231" s="26">
        <v>0</v>
      </c>
      <c r="AH231" s="26">
        <v>2</v>
      </c>
      <c r="AI231" s="26">
        <v>0</v>
      </c>
      <c r="AJ231" s="26">
        <v>0</v>
      </c>
      <c r="AK231" s="26">
        <v>0</v>
      </c>
      <c r="AL231" s="34"/>
    </row>
    <row r="232" spans="2:38" x14ac:dyDescent="0.3">
      <c r="B232" s="43" t="s">
        <v>103</v>
      </c>
      <c r="C232" s="6" t="s">
        <v>238</v>
      </c>
      <c r="D232" s="44">
        <f t="shared" si="21"/>
        <v>1</v>
      </c>
      <c r="E232" s="6" t="s">
        <v>56</v>
      </c>
      <c r="F232" s="9">
        <f>Y232+SUMIFS('บันทึกของเข้า-ออก'!$J:$J,'บันทึกของเข้า-ออก'!$B:$B,สรุป!$C232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2" s="9"/>
      <c r="H232" s="9">
        <f>AA232+SUMIFS('บันทึกของเข้า-ออก'!$J:$J,'บันทึกของเข้า-ออก'!$B:$B,สรุป!$C232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2" s="9">
        <f>AB232+SUMIFS('บันทึกของเข้า-ออก'!$J:$J,'บันทึกของเข้า-ออก'!$B:$B,สรุป!$C232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2" s="9">
        <v>1</v>
      </c>
      <c r="K232" s="9">
        <f>AD232+SUMIFS('บันทึกของเข้า-ออก'!$J:$J,'บันทึกของเข้า-ออก'!$B:$B,สรุป!$C232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2" s="9">
        <f>AE232+SUMIFS('บันทึกของเข้า-ออก'!$J:$J,'บันทึกของเข้า-ออก'!$B:$B,สรุป!$C232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2" s="9">
        <f>AF232+SUMIFS('บันทึกของเข้า-ออก'!$J:$J,'บันทึกของเข้า-ออก'!$B:$B,สรุป!$C232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2" s="9">
        <f>AG232+SUMIFS('บันทึกของเข้า-ออก'!$J:$J,'บันทึกของเข้า-ออก'!$B:$B,สรุป!$C232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2" s="9">
        <f>AH232+SUMIFS('บันทึกของเข้า-ออก'!$J:$J,'บันทึกของเข้า-ออก'!$B:$B,สรุป!$C232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32" s="9">
        <f>AI232+SUMIFS('บันทึกของเข้า-ออก'!$J:$J,'บันทึกของเข้า-ออก'!$B:$B,สรุป!$C232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2" s="9">
        <f>AJ232+SUMIFS('บันทึกของเข้า-ออก'!$J:$J,'บันทึกของเข้า-ออก'!$B:$B,สรุป!$C232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2" s="9">
        <f>AK232+SUMIFS('บันทึกของเข้า-ออก'!$J:$J,'บันทึกของเข้า-ออก'!$B:$B,สรุป!$C232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2" s="70" t="s">
        <v>347</v>
      </c>
      <c r="T232" s="33"/>
      <c r="U232" s="34"/>
      <c r="V232" s="25" t="str">
        <f t="shared" si="20"/>
        <v>แย็กไฟฟ้า 5 kg</v>
      </c>
      <c r="W232" s="79">
        <v>6</v>
      </c>
      <c r="X232" s="35" t="s">
        <v>56</v>
      </c>
      <c r="Y232" s="26">
        <v>0</v>
      </c>
      <c r="Z232" s="26">
        <v>1</v>
      </c>
      <c r="AA232" s="26">
        <v>0</v>
      </c>
      <c r="AB232" s="26">
        <v>0</v>
      </c>
      <c r="AC232" s="26">
        <v>0</v>
      </c>
      <c r="AD232" s="26">
        <v>0</v>
      </c>
      <c r="AE232" s="26">
        <v>0</v>
      </c>
      <c r="AF232" s="26">
        <v>0</v>
      </c>
      <c r="AG232" s="26">
        <v>0</v>
      </c>
      <c r="AH232" s="26">
        <v>0</v>
      </c>
      <c r="AI232" s="26">
        <v>0</v>
      </c>
      <c r="AJ232" s="26">
        <v>0</v>
      </c>
      <c r="AK232" s="26">
        <v>0</v>
      </c>
      <c r="AL232" s="34"/>
    </row>
    <row r="233" spans="2:38" x14ac:dyDescent="0.3">
      <c r="B233" s="43" t="s">
        <v>103</v>
      </c>
      <c r="C233" s="6" t="s">
        <v>48</v>
      </c>
      <c r="D233" s="44">
        <f t="shared" si="21"/>
        <v>2</v>
      </c>
      <c r="E233" s="6" t="s">
        <v>56</v>
      </c>
      <c r="F233" s="9">
        <f>Y233+SUMIFS('บันทึกของเข้า-ออก'!$J:$J,'บันทึกของเข้า-ออก'!$B:$B,สรุป!$C233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3" s="9">
        <f>Z233+SUMIFS('บันทึกของเข้า-ออก'!$J:$J,'บันทึกของเข้า-ออก'!$B:$B,สรุป!$C233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33" s="9">
        <f>AA233+SUMIFS('บันทึกของเข้า-ออก'!$J:$J,'บันทึกของเข้า-ออก'!$B:$B,สรุป!$C233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33" s="9">
        <f>AB233+SUMIFS('บันทึกของเข้า-ออก'!$J:$J,'บันทึกของเข้า-ออก'!$B:$B,สรุป!$C233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3" s="9">
        <f>AC233+SUMIFS('บันทึกของเข้า-ออก'!$J:$J,'บันทึกของเข้า-ออก'!$B:$B,สรุป!$C233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3" s="9">
        <f>AD233+SUMIFS('บันทึกของเข้า-ออก'!$J:$J,'บันทึกของเข้า-ออก'!$B:$B,สรุป!$C233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3" s="9">
        <f>AE233+SUMIFS('บันทึกของเข้า-ออก'!$J:$J,'บันทึกของเข้า-ออก'!$B:$B,สรุป!$C233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3" s="9">
        <f>AF233+SUMIFS('บันทึกของเข้า-ออก'!$J:$J,'บันทึกของเข้า-ออก'!$B:$B,สรุป!$C233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3" s="9">
        <f>AG233+SUMIFS('บันทึกของเข้า-ออก'!$J:$J,'บันทึกของเข้า-ออก'!$B:$B,สรุป!$C233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3" s="9">
        <f>AH233+SUMIFS('บันทึกของเข้า-ออก'!$J:$J,'บันทึกของเข้า-ออก'!$B:$B,สรุป!$C233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33" s="9">
        <f>AI233+SUMIFS('บันทึกของเข้า-ออก'!$J:$J,'บันทึกของเข้า-ออก'!$B:$B,สรุป!$C233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3" s="9">
        <f>AJ233+SUMIFS('บันทึกของเข้า-ออก'!$J:$J,'บันทึกของเข้า-ออก'!$B:$B,สรุป!$C233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3" s="9">
        <f>AK233+SUMIFS('บันทึกของเข้า-ออก'!$J:$J,'บันทึกของเข้า-ออก'!$B:$B,สรุป!$C233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3" s="26"/>
      <c r="T233" s="33"/>
      <c r="U233" s="34"/>
      <c r="V233" s="25" t="str">
        <f t="shared" si="20"/>
        <v>โบเวอร์เป่าลม</v>
      </c>
      <c r="W233" s="79">
        <v>2</v>
      </c>
      <c r="X233" s="35" t="s">
        <v>56</v>
      </c>
      <c r="Y233" s="26">
        <v>0</v>
      </c>
      <c r="Z233" s="26">
        <v>0</v>
      </c>
      <c r="AA233" s="26">
        <v>1</v>
      </c>
      <c r="AB233" s="26">
        <v>0</v>
      </c>
      <c r="AC233" s="26">
        <v>0</v>
      </c>
      <c r="AD233" s="26">
        <v>0</v>
      </c>
      <c r="AE233" s="26">
        <v>0</v>
      </c>
      <c r="AF233" s="26">
        <v>0</v>
      </c>
      <c r="AG233" s="26">
        <v>0</v>
      </c>
      <c r="AH233" s="26">
        <v>1</v>
      </c>
      <c r="AI233" s="26">
        <v>0</v>
      </c>
      <c r="AJ233" s="26">
        <v>0</v>
      </c>
      <c r="AK233" s="26">
        <v>0</v>
      </c>
      <c r="AL233" s="34"/>
    </row>
    <row r="234" spans="2:38" x14ac:dyDescent="0.3">
      <c r="B234" s="43" t="s">
        <v>103</v>
      </c>
      <c r="C234" s="6" t="s">
        <v>285</v>
      </c>
      <c r="D234" s="44">
        <f t="shared" si="21"/>
        <v>1</v>
      </c>
      <c r="E234" s="6" t="s">
        <v>56</v>
      </c>
      <c r="F234" s="9">
        <f>Y234+SUMIFS('บันทึกของเข้า-ออก'!$J:$J,'บันทึกของเข้า-ออก'!$B:$B,สรุป!$C234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4" s="9">
        <f>Z234+SUMIFS('บันทึกของเข้า-ออก'!$J:$J,'บันทึกของเข้า-ออก'!$B:$B,สรุป!$C234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34" s="9">
        <f>AA234+SUMIFS('บันทึกของเข้า-ออก'!$J:$J,'บันทึกของเข้า-ออก'!$B:$B,สรุป!$C234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34" s="9">
        <f>AB234+SUMIFS('บันทึกของเข้า-ออก'!$J:$J,'บันทึกของเข้า-ออก'!$B:$B,สรุป!$C234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4" s="9">
        <f>AC234+SUMIFS('บันทึกของเข้า-ออก'!$J:$J,'บันทึกของเข้า-ออก'!$B:$B,สรุป!$C234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4" s="9">
        <f>AD234+SUMIFS('บันทึกของเข้า-ออก'!$J:$J,'บันทึกของเข้า-ออก'!$B:$B,สรุป!$C234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4" s="9">
        <f>AE234+SUMIFS('บันทึกของเข้า-ออก'!$J:$J,'บันทึกของเข้า-ออก'!$B:$B,สรุป!$C234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4" s="9">
        <f>AF234+SUMIFS('บันทึกของเข้า-ออก'!$J:$J,'บันทึกของเข้า-ออก'!$B:$B,สรุป!$C234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4" s="9">
        <f>AG234+SUMIFS('บันทึกของเข้า-ออก'!$J:$J,'บันทึกของเข้า-ออก'!$B:$B,สรุป!$C234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4" s="9">
        <f>AH234+SUMIFS('บันทึกของเข้า-ออก'!$J:$J,'บันทึกของเข้า-ออก'!$B:$B,สรุป!$C234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34" s="9">
        <f>AI234+SUMIFS('บันทึกของเข้า-ออก'!$J:$J,'บันทึกของเข้า-ออก'!$B:$B,สรุป!$C234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4" s="9">
        <f>AJ234+SUMIFS('บันทึกของเข้า-ออก'!$J:$J,'บันทึกของเข้า-ออก'!$B:$B,สรุป!$C234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4" s="9">
        <f>AK234+SUMIFS('บันทึกของเข้า-ออก'!$J:$J,'บันทึกของเข้า-ออก'!$B:$B,สรุป!$C234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4" s="26"/>
      <c r="T234" s="33"/>
      <c r="U234" s="34"/>
      <c r="V234" s="25" t="str">
        <f t="shared" si="20"/>
        <v>เครื่องขัดกระดาษทราย</v>
      </c>
      <c r="W234" s="79">
        <v>1</v>
      </c>
      <c r="X234" s="35" t="s">
        <v>56</v>
      </c>
      <c r="Y234" s="26">
        <v>0</v>
      </c>
      <c r="Z234" s="26">
        <v>0</v>
      </c>
      <c r="AA234" s="26">
        <v>1</v>
      </c>
      <c r="AB234" s="26">
        <v>0</v>
      </c>
      <c r="AC234" s="26">
        <v>0</v>
      </c>
      <c r="AD234" s="26">
        <v>0</v>
      </c>
      <c r="AE234" s="26">
        <v>0</v>
      </c>
      <c r="AF234" s="26">
        <v>0</v>
      </c>
      <c r="AG234" s="26">
        <v>0</v>
      </c>
      <c r="AH234" s="26">
        <v>0</v>
      </c>
      <c r="AI234" s="26">
        <v>0</v>
      </c>
      <c r="AJ234" s="26">
        <v>0</v>
      </c>
      <c r="AK234" s="26">
        <v>0</v>
      </c>
      <c r="AL234" s="34"/>
    </row>
    <row r="235" spans="2:38" x14ac:dyDescent="0.3">
      <c r="B235" s="43" t="s">
        <v>103</v>
      </c>
      <c r="C235" s="6" t="s">
        <v>257</v>
      </c>
      <c r="D235" s="81">
        <f t="shared" si="21"/>
        <v>1</v>
      </c>
      <c r="E235" s="6" t="s">
        <v>56</v>
      </c>
      <c r="F235" s="9">
        <f>Y235+SUMIFS('บันทึกของเข้า-ออก'!$J:$J,'บันทึกของเข้า-ออก'!$B:$B,สรุป!$C235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5" s="9">
        <f>Z235+SUMIFS('บันทึกของเข้า-ออก'!$J:$J,'บันทึกของเข้า-ออก'!$B:$B,สรุป!$C235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35" s="9">
        <f>AA235+SUMIFS('บันทึกของเข้า-ออก'!$J:$J,'บันทึกของเข้า-ออก'!$B:$B,สรุป!$C235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5" s="9">
        <f>AB235+SUMIFS('บันทึกของเข้า-ออก'!$J:$J,'บันทึกของเข้า-ออก'!$B:$B,สรุป!$C235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5" s="9">
        <f>AC235+SUMIFS('บันทึกของเข้า-ออก'!$J:$J,'บันทึกของเข้า-ออก'!$B:$B,สรุป!$C235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5" s="9">
        <f>AD235+SUMIFS('บันทึกของเข้า-ออก'!$J:$J,'บันทึกของเข้า-ออก'!$B:$B,สรุป!$C235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5" s="9">
        <f>AE235+SUMIFS('บันทึกของเข้า-ออก'!$J:$J,'บันทึกของเข้า-ออก'!$B:$B,สรุป!$C235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5" s="9">
        <f>AF235+SUMIFS('บันทึกของเข้า-ออก'!$J:$J,'บันทึกของเข้า-ออก'!$B:$B,สรุป!$C235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5" s="9">
        <f>AG235+SUMIFS('บันทึกของเข้า-ออก'!$J:$J,'บันทึกของเข้า-ออก'!$B:$B,สรุป!$C235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5" s="9"/>
      <c r="P235" s="9">
        <f>AI235+SUMIFS('บันทึกของเข้า-ออก'!$J:$J,'บันทึกของเข้า-ออก'!$B:$B,สรุป!$C235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5" s="9">
        <f>AJ235+SUMIFS('บันทึกของเข้า-ออก'!$J:$J,'บันทึกของเข้า-ออก'!$B:$B,สรุป!$C235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5" s="9">
        <f>AK235+SUMIFS('บันทึกของเข้า-ออก'!$J:$J,'บันทึกของเข้า-ออก'!$B:$B,สรุป!$C235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5" s="26"/>
      <c r="T235" s="33"/>
      <c r="U235" s="34"/>
      <c r="V235" s="25" t="str">
        <f t="shared" si="20"/>
        <v>เครื่องฉีดน้ำ</v>
      </c>
      <c r="W235" s="81"/>
      <c r="X235" s="35" t="s">
        <v>56</v>
      </c>
      <c r="Y235" s="26">
        <v>0</v>
      </c>
      <c r="Z235" s="26">
        <v>0</v>
      </c>
      <c r="AA235" s="26">
        <v>0</v>
      </c>
      <c r="AB235" s="26">
        <v>0</v>
      </c>
      <c r="AC235" s="26">
        <v>0</v>
      </c>
      <c r="AD235" s="26">
        <v>0</v>
      </c>
      <c r="AE235" s="26">
        <v>0</v>
      </c>
      <c r="AF235" s="26">
        <v>0</v>
      </c>
      <c r="AG235" s="26">
        <v>0</v>
      </c>
      <c r="AH235" s="26">
        <v>0</v>
      </c>
      <c r="AI235" s="26">
        <v>0</v>
      </c>
      <c r="AJ235" s="26">
        <v>0</v>
      </c>
      <c r="AK235" s="26">
        <v>0</v>
      </c>
      <c r="AL235" s="34"/>
    </row>
    <row r="236" spans="2:38" x14ac:dyDescent="0.3">
      <c r="B236" s="43" t="s">
        <v>103</v>
      </c>
      <c r="C236" s="6" t="s">
        <v>67</v>
      </c>
      <c r="D236" s="44">
        <f t="shared" si="21"/>
        <v>3</v>
      </c>
      <c r="E236" s="6" t="s">
        <v>56</v>
      </c>
      <c r="F236" s="9">
        <f>Y236+SUMIFS('บันทึกของเข้า-ออก'!$J:$J,'บันทึกของเข้า-ออก'!$B:$B,สรุป!$C236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6" s="9">
        <f>Z236+SUMIFS('บันทึกของเข้า-ออก'!$J:$J,'บันทึกของเข้า-ออก'!$B:$B,สรุป!$C236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36" s="9">
        <f>AA236+SUMIFS('บันทึกของเข้า-ออก'!$J:$J,'บันทึกของเข้า-ออก'!$B:$B,สรุป!$C236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6" s="9">
        <f>AB236+SUMIFS('บันทึกของเข้า-ออก'!$J:$J,'บันทึกของเข้า-ออก'!$B:$B,สรุป!$C236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6" s="9">
        <f>AC236+SUMIFS('บันทึกของเข้า-ออก'!$J:$J,'บันทึกของเข้า-ออก'!$B:$B,สรุป!$C236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6" s="9">
        <f>AD236+SUMIFS('บันทึกของเข้า-ออก'!$J:$J,'บันทึกของเข้า-ออก'!$B:$B,สรุป!$C236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6" s="9">
        <f>AE236+SUMIFS('บันทึกของเข้า-ออก'!$J:$J,'บันทึกของเข้า-ออก'!$B:$B,สรุป!$C236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6" s="9">
        <f>AF236+SUMIFS('บันทึกของเข้า-ออก'!$J:$J,'บันทึกของเข้า-ออก'!$B:$B,สรุป!$C236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6" s="9">
        <f>AG236+SUMIFS('บันทึกของเข้า-ออก'!$J:$J,'บันทึกของเข้า-ออก'!$B:$B,สรุป!$C236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6" s="9">
        <f>AH236+SUMIFS('บันทึกของเข้า-ออก'!$J:$J,'บันทึกของเข้า-ออก'!$B:$B,สรุป!$C236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36" s="9">
        <f>AI236+SUMIFS('บันทึกของเข้า-ออก'!$J:$J,'บันทึกของเข้า-ออก'!$B:$B,สรุป!$C236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6" s="9">
        <f>AJ236+SUMIFS('บันทึกของเข้า-ออก'!$J:$J,'บันทึกของเข้า-ออก'!$B:$B,สรุป!$C236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6" s="9">
        <f>AK236+SUMIFS('บันทึกของเข้า-ออก'!$J:$J,'บันทึกของเข้า-ออก'!$B:$B,สรุป!$C236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6" s="26"/>
      <c r="T236" s="33"/>
      <c r="U236" s="34"/>
      <c r="V236" s="25" t="str">
        <f t="shared" si="20"/>
        <v>ไดโว่สูบน้ำ 1 นิ้ว</v>
      </c>
      <c r="W236" s="79">
        <v>3</v>
      </c>
      <c r="X236" s="35" t="s">
        <v>56</v>
      </c>
      <c r="Y236" s="26">
        <v>0</v>
      </c>
      <c r="Z236" s="26">
        <v>1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2</v>
      </c>
      <c r="AI236" s="26">
        <v>0</v>
      </c>
      <c r="AJ236" s="26">
        <v>0</v>
      </c>
      <c r="AK236" s="26">
        <v>0</v>
      </c>
      <c r="AL236" s="34"/>
    </row>
    <row r="237" spans="2:38" x14ac:dyDescent="0.3">
      <c r="B237" s="43" t="s">
        <v>103</v>
      </c>
      <c r="C237" s="6" t="s">
        <v>68</v>
      </c>
      <c r="D237" s="44">
        <f t="shared" si="21"/>
        <v>2</v>
      </c>
      <c r="E237" s="6" t="s">
        <v>56</v>
      </c>
      <c r="F237" s="9">
        <f>Y237+SUMIFS('บันทึกของเข้า-ออก'!$J:$J,'บันทึกของเข้า-ออก'!$B:$B,สรุป!$C237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7" s="57">
        <f>Z237+SUMIFS('บันทึกของเข้า-ออก'!$J:$J,'บันทึกของเข้า-ออก'!$B:$B,สรุป!$C237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37" s="9">
        <f>AA237+SUMIFS('บันทึกของเข้า-ออก'!$J:$J,'บันทึกของเข้า-ออก'!$B:$B,สรุป!$C237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7" s="9">
        <f>AB237+SUMIFS('บันทึกของเข้า-ออก'!$J:$J,'บันทึกของเข้า-ออก'!$B:$B,สรุป!$C237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7" s="9">
        <f>AC237+SUMIFS('บันทึกของเข้า-ออก'!$J:$J,'บันทึกของเข้า-ออก'!$B:$B,สรุป!$C237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7" s="9">
        <f>AD237+SUMIFS('บันทึกของเข้า-ออก'!$J:$J,'บันทึกของเข้า-ออก'!$B:$B,สรุป!$C237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7" s="9">
        <f>AE237+SUMIFS('บันทึกของเข้า-ออก'!$J:$J,'บันทึกของเข้า-ออก'!$B:$B,สรุป!$C237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7" s="9">
        <f>AF237+SUMIFS('บันทึกของเข้า-ออก'!$J:$J,'บันทึกของเข้า-ออก'!$B:$B,สรุป!$C237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7" s="9">
        <f>AG237+SUMIFS('บันทึกของเข้า-ออก'!$J:$J,'บันทึกของเข้า-ออก'!$B:$B,สรุป!$C237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7" s="9">
        <f>AH237+SUMIFS('บันทึกของเข้า-ออก'!$J:$J,'บันทึกของเข้า-ออก'!$B:$B,สรุป!$C237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37" s="9">
        <f>AI237+SUMIFS('บันทึกของเข้า-ออก'!$J:$J,'บันทึกของเข้า-ออก'!$B:$B,สรุป!$C237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7" s="9">
        <f>AJ237+SUMIFS('บันทึกของเข้า-ออก'!$J:$J,'บันทึกของเข้า-ออก'!$B:$B,สรุป!$C237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7" s="9">
        <f>AK237+SUMIFS('บันทึกของเข้า-ออก'!$J:$J,'บันทึกของเข้า-ออก'!$B:$B,สรุป!$C237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7" s="26"/>
      <c r="T237" s="33"/>
      <c r="U237" s="34"/>
      <c r="V237" s="25" t="str">
        <f t="shared" si="20"/>
        <v>ไดโว่สูบน้ำ 2 นิ้ว</v>
      </c>
      <c r="W237" s="79">
        <v>2</v>
      </c>
      <c r="X237" s="35" t="s">
        <v>56</v>
      </c>
      <c r="Y237" s="26">
        <v>0</v>
      </c>
      <c r="Z237" s="26">
        <v>0</v>
      </c>
      <c r="AA237" s="26">
        <v>0</v>
      </c>
      <c r="AB237" s="26">
        <v>0</v>
      </c>
      <c r="AC237" s="26">
        <v>0</v>
      </c>
      <c r="AD237" s="26">
        <v>0</v>
      </c>
      <c r="AE237" s="26">
        <v>0</v>
      </c>
      <c r="AF237" s="26">
        <v>0</v>
      </c>
      <c r="AG237" s="26">
        <v>0</v>
      </c>
      <c r="AH237" s="26">
        <v>2</v>
      </c>
      <c r="AI237" s="26">
        <v>0</v>
      </c>
      <c r="AJ237" s="26">
        <v>0</v>
      </c>
      <c r="AK237" s="26">
        <v>0</v>
      </c>
      <c r="AL237" s="34"/>
    </row>
    <row r="238" spans="2:38" x14ac:dyDescent="0.3">
      <c r="B238" s="43" t="s">
        <v>103</v>
      </c>
      <c r="C238" s="6" t="s">
        <v>126</v>
      </c>
      <c r="D238" s="44">
        <f t="shared" si="21"/>
        <v>1</v>
      </c>
      <c r="E238" s="6" t="s">
        <v>56</v>
      </c>
      <c r="F238" s="9">
        <f>Y238+SUMIFS('บันทึกของเข้า-ออก'!$J:$J,'บันทึกของเข้า-ออก'!$B:$B,สรุป!$C238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8" s="9">
        <f>Z238+SUMIFS('บันทึกของเข้า-ออก'!$J:$J,'บันทึกของเข้า-ออก'!$B:$B,สรุป!$C238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38" s="9">
        <f>AA238+SUMIFS('บันทึกของเข้า-ออก'!$J:$J,'บันทึกของเข้า-ออก'!$B:$B,สรุป!$C238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8" s="9">
        <f>AB238+SUMIFS('บันทึกของเข้า-ออก'!$J:$J,'บันทึกของเข้า-ออก'!$B:$B,สรุป!$C238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8" s="9">
        <f>AC238+SUMIFS('บันทึกของเข้า-ออก'!$J:$J,'บันทึกของเข้า-ออก'!$B:$B,สรุป!$C238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8" s="9">
        <f>AD238+SUMIFS('บันทึกของเข้า-ออก'!$J:$J,'บันทึกของเข้า-ออก'!$B:$B,สรุป!$C238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8" s="9">
        <f>AE238+SUMIFS('บันทึกของเข้า-ออก'!$J:$J,'บันทึกของเข้า-ออก'!$B:$B,สรุป!$C238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8" s="9">
        <f>AF238+SUMIFS('บันทึกของเข้า-ออก'!$J:$J,'บันทึกของเข้า-ออก'!$B:$B,สรุป!$C238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38" s="9">
        <f>AG238+SUMIFS('บันทึกของเข้า-ออก'!$J:$J,'บันทึกของเข้า-ออก'!$B:$B,สรุป!$C238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8" s="9">
        <f>AH238+SUMIFS('บันทึกของเข้า-ออก'!$J:$J,'บันทึกของเข้า-ออก'!$B:$B,สรุป!$C238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38" s="9">
        <f>AI238+SUMIFS('บันทึกของเข้า-ออก'!$J:$J,'บันทึกของเข้า-ออก'!$B:$B,สรุป!$C238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8" s="9">
        <f>AJ238+SUMIFS('บันทึกของเข้า-ออก'!$J:$J,'บันทึกของเข้า-ออก'!$B:$B,สรุป!$C238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8" s="9">
        <f>AK238+SUMIFS('บันทึกของเข้า-ออก'!$J:$J,'บันทึกของเข้า-ออก'!$B:$B,สรุป!$C238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8" s="26"/>
      <c r="T238" s="33"/>
      <c r="U238" s="34"/>
      <c r="V238" s="25" t="str">
        <f t="shared" si="20"/>
        <v>ไดโว่สูบน้ำ 3 นิ้ว</v>
      </c>
      <c r="W238" s="79">
        <v>1</v>
      </c>
      <c r="X238" s="35" t="s">
        <v>56</v>
      </c>
      <c r="Y238" s="26">
        <v>0</v>
      </c>
      <c r="Z238" s="26">
        <v>0</v>
      </c>
      <c r="AA238" s="26">
        <v>0</v>
      </c>
      <c r="AB238" s="26">
        <v>0</v>
      </c>
      <c r="AC238" s="26">
        <v>0</v>
      </c>
      <c r="AD238" s="26">
        <v>0</v>
      </c>
      <c r="AE238" s="26">
        <v>0</v>
      </c>
      <c r="AF238" s="26">
        <v>1</v>
      </c>
      <c r="AG238" s="26">
        <v>0</v>
      </c>
      <c r="AH238" s="26">
        <v>0</v>
      </c>
      <c r="AI238" s="26">
        <v>0</v>
      </c>
      <c r="AJ238" s="26">
        <v>0</v>
      </c>
      <c r="AK238" s="26">
        <v>0</v>
      </c>
      <c r="AL238" s="34"/>
    </row>
    <row r="239" spans="2:38" x14ac:dyDescent="0.3">
      <c r="B239" s="43" t="s">
        <v>103</v>
      </c>
      <c r="C239" s="6" t="s">
        <v>337</v>
      </c>
      <c r="D239" s="44">
        <f t="shared" si="21"/>
        <v>1</v>
      </c>
      <c r="E239" s="6" t="s">
        <v>61</v>
      </c>
      <c r="F239" s="9">
        <f>Y239+SUMIFS('บันทึกของเข้า-ออก'!$J:$J,'บันทึกของเข้า-ออก'!$B:$B,สรุป!$C239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39" s="9">
        <f>Z239+SUMIFS('บันทึกของเข้า-ออก'!$J:$J,'บันทึกของเข้า-ออก'!$B:$B,สรุป!$C239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39" s="9">
        <f>AA239+SUMIFS('บันทึกของเข้า-ออก'!$J:$J,'บันทึกของเข้า-ออก'!$B:$B,สรุป!$C239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39" s="9">
        <f>AB239+SUMIFS('บันทึกของเข้า-ออก'!$J:$J,'บันทึกของเข้า-ออก'!$B:$B,สรุป!$C239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39" s="9">
        <f>AC239+SUMIFS('บันทึกของเข้า-ออก'!$J:$J,'บันทึกของเข้า-ออก'!$B:$B,สรุป!$C239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39" s="9">
        <f>AD239+SUMIFS('บันทึกของเข้า-ออก'!$J:$J,'บันทึกของเข้า-ออก'!$B:$B,สรุป!$C239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39" s="9">
        <f>AE239+SUMIFS('บันทึกของเข้า-ออก'!$J:$J,'บันทึกของเข้า-ออก'!$B:$B,สรุป!$C239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39" s="9">
        <f>AF239+SUMIFS('บันทึกของเข้า-ออก'!$J:$J,'บันทึกของเข้า-ออก'!$B:$B,สรุป!$C239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39" s="9">
        <f>AG239+SUMIFS('บันทึกของเข้า-ออก'!$J:$J,'บันทึกของเข้า-ออก'!$B:$B,สรุป!$C239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39" s="9">
        <f>AH239+SUMIFS('บันทึกของเข้า-ออก'!$J:$J,'บันทึกของเข้า-ออก'!$B:$B,สรุป!$C239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39" s="9">
        <f>AI239+SUMIFS('บันทึกของเข้า-ออก'!$J:$J,'บันทึกของเข้า-ออก'!$B:$B,สรุป!$C239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39" s="9">
        <f>AJ239+SUMIFS('บันทึกของเข้า-ออก'!$J:$J,'บันทึกของเข้า-ออก'!$B:$B,สรุป!$C239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39" s="9">
        <f>AK239+SUMIFS('บันทึกของเข้า-ออก'!$J:$J,'บันทึกของเข้า-ออก'!$B:$B,สรุป!$C239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239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39" s="26"/>
      <c r="T239" s="33"/>
      <c r="U239" s="34"/>
      <c r="V239" s="25" t="str">
        <f t="shared" si="20"/>
        <v>ไฟเบอร์ตัดปูน 4 นิ้ว</v>
      </c>
      <c r="W239" s="79">
        <v>1</v>
      </c>
      <c r="X239" s="35"/>
      <c r="Y239" s="26">
        <v>0</v>
      </c>
      <c r="Z239" s="26">
        <v>1</v>
      </c>
      <c r="AA239" s="26">
        <v>0</v>
      </c>
      <c r="AB239" s="26">
        <v>0</v>
      </c>
      <c r="AC239" s="26">
        <v>0</v>
      </c>
      <c r="AD239" s="26">
        <v>0</v>
      </c>
      <c r="AE239" s="26">
        <v>0</v>
      </c>
      <c r="AF239" s="26">
        <v>0</v>
      </c>
      <c r="AG239" s="26">
        <v>0</v>
      </c>
      <c r="AH239" s="26">
        <v>0</v>
      </c>
      <c r="AI239" s="26">
        <v>0</v>
      </c>
      <c r="AJ239" s="26">
        <v>0</v>
      </c>
      <c r="AK239" s="26">
        <v>0</v>
      </c>
      <c r="AL239" s="34"/>
    </row>
    <row r="240" spans="2:38" x14ac:dyDescent="0.3">
      <c r="B240" s="43" t="s">
        <v>103</v>
      </c>
      <c r="C240" s="6" t="s">
        <v>46</v>
      </c>
      <c r="D240" s="44">
        <f t="shared" si="21"/>
        <v>5</v>
      </c>
      <c r="E240" s="6" t="s">
        <v>56</v>
      </c>
      <c r="F240" s="9">
        <f>Y240+SUMIFS('บันทึกของเข้า-ออก'!$J:$J,'บันทึกของเข้า-ออก'!$B:$B,สรุป!$C240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0" s="9">
        <f>Z240+SUMIFS('บันทึกของเข้า-ออก'!$J:$J,'บันทึกของเข้า-ออก'!$B:$B,สรุป!$C240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40" s="9">
        <f>AA240+SUMIFS('บันทึกของเข้า-ออก'!$J:$J,'บันทึกของเข้า-ออก'!$B:$B,สรุป!$C240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40" s="9">
        <f>AB240+SUMIFS('บันทึกของเข้า-ออก'!$J:$J,'บันทึกของเข้า-ออก'!$B:$B,สรุป!$C240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I$5,'บันทึกของเข้า-ออก'!$D:$D,"&gt;="&amp;สรุป!$F$2,'บันทึกของเข้า-ออก'!$D:$D,"&lt;="&amp;สรุป!$G$2)</f>
        <v>1</v>
      </c>
      <c r="J240" s="9">
        <f>AC240+SUMIFS('บันทึกของเข้า-ออก'!$J:$J,'บันทึกของเข้า-ออก'!$B:$B,สรุป!$C240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0" s="9">
        <f>AD240+SUMIFS('บันทึกของเข้า-ออก'!$J:$J,'บันทึกของเข้า-ออก'!$B:$B,สรุป!$C240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0" s="9">
        <f>AE240+SUMIFS('บันทึกของเข้า-ออก'!$J:$J,'บันทึกของเข้า-ออก'!$B:$B,สรุป!$C240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0" s="9">
        <f>AF240+SUMIFS('บันทึกของเข้า-ออก'!$J:$J,'บันทึกของเข้า-ออก'!$B:$B,สรุป!$C240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40" s="9">
        <f>AG240+SUMIFS('บันทึกของเข้า-ออก'!$J:$J,'บันทึกของเข้า-ออก'!$B:$B,สรุป!$C240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0" s="9">
        <f>AH240+SUMIFS('บันทึกของเข้า-ออก'!$J:$J,'บันทึกของเข้า-ออก'!$B:$B,สรุป!$C240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40" s="9">
        <f>AI240+SUMIFS('บันทึกของเข้า-ออก'!$J:$J,'บันทึกของเข้า-ออก'!$B:$B,สรุป!$C240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0" s="9">
        <f>AJ240+SUMIFS('บันทึกของเข้า-ออก'!$J:$J,'บันทึกของเข้า-ออก'!$B:$B,สรุป!$C240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0" s="9">
        <f>AK240+SUMIFS('บันทึกของเข้า-ออก'!$J:$J,'บันทึกของเข้า-ออก'!$B:$B,สรุป!$C240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0" s="26"/>
      <c r="T240" s="33"/>
      <c r="U240" s="34"/>
      <c r="V240" s="25" t="str">
        <f t="shared" si="20"/>
        <v>ไฟเบอร์ 14 นิ้ว</v>
      </c>
      <c r="W240" s="79">
        <v>5</v>
      </c>
      <c r="X240" s="35" t="s">
        <v>56</v>
      </c>
      <c r="Y240" s="26">
        <v>0</v>
      </c>
      <c r="Z240" s="26">
        <v>1</v>
      </c>
      <c r="AA240" s="26">
        <v>0</v>
      </c>
      <c r="AB240" s="26">
        <v>1</v>
      </c>
      <c r="AC240" s="26">
        <v>0</v>
      </c>
      <c r="AD240" s="26">
        <v>0</v>
      </c>
      <c r="AE240" s="26">
        <v>0</v>
      </c>
      <c r="AF240" s="26">
        <v>1</v>
      </c>
      <c r="AG240" s="26">
        <v>0</v>
      </c>
      <c r="AH240" s="26">
        <v>2</v>
      </c>
      <c r="AI240" s="26">
        <v>0</v>
      </c>
      <c r="AJ240" s="26">
        <v>0</v>
      </c>
      <c r="AK240" s="26">
        <v>0</v>
      </c>
      <c r="AL240" s="34"/>
    </row>
    <row r="241" spans="2:38" x14ac:dyDescent="0.3">
      <c r="B241" s="43" t="s">
        <v>103</v>
      </c>
      <c r="C241" s="6" t="s">
        <v>125</v>
      </c>
      <c r="D241" s="44">
        <f t="shared" si="21"/>
        <v>3</v>
      </c>
      <c r="E241" s="6" t="s">
        <v>56</v>
      </c>
      <c r="F241" s="9">
        <f>Y241+SUMIFS('บันทึกของเข้า-ออก'!$J:$J,'บันทึกของเข้า-ออก'!$B:$B,สรุป!$C241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1" s="9">
        <f>Z241+SUMIFS('บันทึกของเข้า-ออก'!$J:$J,'บันทึกของเข้า-ออก'!$B:$B,สรุป!$C241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1" s="9">
        <f>AA241+SUMIFS('บันทึกของเข้า-ออก'!$J:$J,'บันทึกของเข้า-ออก'!$B:$B,สรุป!$C241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H$5,'บันทึกของเข้า-ออก'!$D:$D,"&gt;="&amp;สรุป!$F$2,'บันทึกของเข้า-ออก'!$D:$D,"&lt;="&amp;สรุป!$G$2)</f>
        <v>2</v>
      </c>
      <c r="I241" s="9">
        <f>AB241+SUMIFS('บันทึกของเข้า-ออก'!$J:$J,'บันทึกของเข้า-ออก'!$B:$B,สรุป!$C241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1" s="9">
        <f>AC241+SUMIFS('บันทึกของเข้า-ออก'!$J:$J,'บันทึกของเข้า-ออก'!$B:$B,สรุป!$C241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1" s="9">
        <f>AD241+SUMIFS('บันทึกของเข้า-ออก'!$J:$J,'บันทึกของเข้า-ออก'!$B:$B,สรุป!$C241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1" s="9"/>
      <c r="M241" s="9">
        <f>AF241+SUMIFS('บันทึกของเข้า-ออก'!$J:$J,'บันทึกของเข้า-ออก'!$B:$B,สรุป!$C241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1" s="9">
        <v>1</v>
      </c>
      <c r="O241" s="9">
        <f>AH241+SUMIFS('บันทึกของเข้า-ออก'!$J:$J,'บันทึกของเข้า-ออก'!$B:$B,สรุป!$C241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41" s="9">
        <f>AI241+SUMIFS('บันทึกของเข้า-ออก'!$J:$J,'บันทึกของเข้า-ออก'!$B:$B,สรุป!$C241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1" s="9">
        <f>AJ241+SUMIFS('บันทึกของเข้า-ออก'!$J:$J,'บันทึกของเข้า-ออก'!$B:$B,สรุป!$C241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1" s="9">
        <f>AK241+SUMIFS('บันทึกของเข้า-ออก'!$J:$J,'บันทึกของเข้า-ออก'!$B:$B,สรุป!$C241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1" s="26"/>
      <c r="T241" s="33"/>
      <c r="U241" s="34"/>
      <c r="V241" s="25" t="str">
        <f t="shared" si="20"/>
        <v>ตู้เชื่อม</v>
      </c>
      <c r="W241" s="79">
        <v>3</v>
      </c>
      <c r="X241" s="35" t="s">
        <v>56</v>
      </c>
      <c r="Y241" s="26">
        <v>0</v>
      </c>
      <c r="Z241" s="26">
        <v>0</v>
      </c>
      <c r="AA241" s="26">
        <v>2</v>
      </c>
      <c r="AB241" s="26">
        <v>0</v>
      </c>
      <c r="AC241" s="26">
        <v>0</v>
      </c>
      <c r="AD241" s="26">
        <v>0</v>
      </c>
      <c r="AE241" s="26">
        <v>0</v>
      </c>
      <c r="AF241" s="26">
        <v>0</v>
      </c>
      <c r="AG241" s="26">
        <v>1</v>
      </c>
      <c r="AH241" s="26">
        <v>0</v>
      </c>
      <c r="AI241" s="26">
        <v>0</v>
      </c>
      <c r="AJ241" s="26">
        <v>0</v>
      </c>
      <c r="AK241" s="26">
        <v>0</v>
      </c>
      <c r="AL241" s="34"/>
    </row>
    <row r="242" spans="2:38" x14ac:dyDescent="0.3">
      <c r="B242" s="43" t="s">
        <v>103</v>
      </c>
      <c r="C242" s="6" t="s">
        <v>112</v>
      </c>
      <c r="D242" s="44">
        <f t="shared" si="21"/>
        <v>2</v>
      </c>
      <c r="E242" s="6" t="s">
        <v>56</v>
      </c>
      <c r="F242" s="9">
        <f>Y242+SUMIFS('บันทึกของเข้า-ออก'!$J:$J,'บันทึกของเข้า-ออก'!$B:$B,สรุป!$C242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2" s="9"/>
      <c r="H242" s="9">
        <f>AA242+SUMIFS('บันทึกของเข้า-ออก'!$J:$J,'บันทึกของเข้า-ออก'!$B:$B,สรุป!$C242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42" s="9">
        <f>AB242+SUMIFS('บันทึกของเข้า-ออก'!$J:$J,'บันทึกของเข้า-ออก'!$B:$B,สรุป!$C242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2" s="9">
        <f>AC242+SUMIFS('บันทึกของเข้า-ออก'!$J:$J,'บันทึกของเข้า-ออก'!$B:$B,สรุป!$C242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2" s="9">
        <f>AD242+SUMIFS('บันทึกของเข้า-ออก'!$J:$J,'บันทึกของเข้า-ออก'!$B:$B,สรุป!$C242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2" s="9">
        <f>AE242+SUMIFS('บันทึกของเข้า-ออก'!$J:$J,'บันทึกของเข้า-ออก'!$B:$B,สรุป!$C242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2" s="9">
        <v>1</v>
      </c>
      <c r="N242" s="9">
        <f>AG242+SUMIFS('บันทึกของเข้า-ออก'!$J:$J,'บันทึกของเข้า-ออก'!$B:$B,สรุป!$C242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2" s="9">
        <v>1</v>
      </c>
      <c r="P242" s="9">
        <f>AI242+SUMIFS('บันทึกของเข้า-ออก'!$J:$J,'บันทึกของเข้า-ออก'!$B:$B,สรุป!$C242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2" s="9">
        <f>AJ242+SUMIFS('บันทึกของเข้า-ออก'!$J:$J,'บันทึกของเข้า-ออก'!$B:$B,สรุป!$C242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2" s="9">
        <f>AK242+SUMIFS('บันทึกของเข้า-ออก'!$J:$J,'บันทึกของเข้า-ออก'!$B:$B,สรุป!$C242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2" s="26"/>
      <c r="T242" s="33"/>
      <c r="U242" s="34"/>
      <c r="V242" s="25" t="str">
        <f t="shared" si="20"/>
        <v>ปั้มน้ำธรรมดา 1 นิ้ว</v>
      </c>
      <c r="W242" s="79">
        <v>4</v>
      </c>
      <c r="X242" s="35" t="s">
        <v>56</v>
      </c>
      <c r="Y242" s="26">
        <v>0</v>
      </c>
      <c r="Z242" s="26">
        <v>0</v>
      </c>
      <c r="AA242" s="26">
        <v>0</v>
      </c>
      <c r="AB242" s="26">
        <v>0</v>
      </c>
      <c r="AC242" s="26">
        <v>0</v>
      </c>
      <c r="AD242" s="26">
        <v>0</v>
      </c>
      <c r="AE242" s="26">
        <v>0</v>
      </c>
      <c r="AF242" s="26">
        <v>0</v>
      </c>
      <c r="AG242" s="26">
        <v>0</v>
      </c>
      <c r="AH242" s="26">
        <v>0</v>
      </c>
      <c r="AI242" s="26">
        <v>0</v>
      </c>
      <c r="AJ242" s="26">
        <v>0</v>
      </c>
      <c r="AK242" s="26">
        <v>0</v>
      </c>
      <c r="AL242" s="34"/>
    </row>
    <row r="243" spans="2:38" x14ac:dyDescent="0.3">
      <c r="B243" s="43" t="s">
        <v>103</v>
      </c>
      <c r="C243" s="6" t="s">
        <v>111</v>
      </c>
      <c r="D243" s="44">
        <f t="shared" si="21"/>
        <v>4</v>
      </c>
      <c r="E243" s="6" t="s">
        <v>56</v>
      </c>
      <c r="F243" s="9">
        <f>Y243+SUMIFS('บันทึกของเข้า-ออก'!$J:$J,'บันทึกของเข้า-ออก'!$B:$B,สรุป!$C243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3" s="9">
        <f>Z243+SUMIFS('บันทึกของเข้า-ออก'!$J:$J,'บันทึกของเข้า-ออก'!$B:$B,สรุป!$C243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3" s="9">
        <v>1</v>
      </c>
      <c r="I243" s="9">
        <f>AB243+SUMIFS('บันทึกของเข้า-ออก'!$J:$J,'บันทึกของเข้า-ออก'!$B:$B,สรุป!$C243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3" s="9">
        <f>AC243+SUMIFS('บันทึกของเข้า-ออก'!$J:$J,'บันทึกของเข้า-ออก'!$B:$B,สรุป!$C243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3" s="9">
        <f>AD243+SUMIFS('บันทึกของเข้า-ออก'!$J:$J,'บันทึกของเข้า-ออก'!$B:$B,สรุป!$C243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3" s="9">
        <f>AE243+SUMIFS('บันทึกของเข้า-ออก'!$J:$J,'บันทึกของเข้า-ออก'!$B:$B,สรุป!$C243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3" s="9">
        <f>AF243+SUMIFS('บันทึกของเข้า-ออก'!$J:$J,'บันทึกของเข้า-ออก'!$B:$B,สรุป!$C243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M$5,'บันทึกของเข้า-ออก'!$D:$D,"&gt;="&amp;สรุป!$F$2,'บันทึกของเข้า-ออก'!$D:$D,"&lt;="&amp;สรุป!$G$2)</f>
        <v>2</v>
      </c>
      <c r="N243" s="9">
        <f>AG243+SUMIFS('บันทึกของเข้า-ออก'!$J:$J,'บันทึกของเข้า-ออก'!$B:$B,สรุป!$C243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3" s="9">
        <v>1</v>
      </c>
      <c r="P243" s="9">
        <f>AI243+SUMIFS('บันทึกของเข้า-ออก'!$J:$J,'บันทึกของเข้า-ออก'!$B:$B,สรุป!$C243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3" s="9">
        <f>AJ243+SUMIFS('บันทึกของเข้า-ออก'!$J:$J,'บันทึกของเข้า-ออก'!$B:$B,สรุป!$C243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3" s="9">
        <f>AK243+SUMIFS('บันทึกของเข้า-ออก'!$J:$J,'บันทึกของเข้า-ออก'!$B:$B,สรุป!$C243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3" s="26"/>
      <c r="T243" s="33"/>
      <c r="U243" s="34"/>
      <c r="V243" s="25" t="str">
        <f t="shared" si="20"/>
        <v>ปั๊มน้ำออโต้</v>
      </c>
      <c r="W243" s="79">
        <v>6</v>
      </c>
      <c r="X243" s="35" t="s">
        <v>56</v>
      </c>
      <c r="Y243" s="26">
        <v>0</v>
      </c>
      <c r="Z243" s="26">
        <v>0</v>
      </c>
      <c r="AA243" s="26">
        <v>0</v>
      </c>
      <c r="AB243" s="26">
        <v>0</v>
      </c>
      <c r="AC243" s="26">
        <v>0</v>
      </c>
      <c r="AD243" s="26">
        <v>0</v>
      </c>
      <c r="AE243" s="26">
        <v>0</v>
      </c>
      <c r="AF243" s="26">
        <v>2</v>
      </c>
      <c r="AG243" s="26">
        <v>0</v>
      </c>
      <c r="AH243" s="26">
        <v>0</v>
      </c>
      <c r="AI243" s="26">
        <v>0</v>
      </c>
      <c r="AJ243" s="26">
        <v>0</v>
      </c>
      <c r="AK243" s="26">
        <v>0</v>
      </c>
      <c r="AL243" s="34"/>
    </row>
    <row r="244" spans="2:38" x14ac:dyDescent="0.3">
      <c r="B244" s="43" t="s">
        <v>103</v>
      </c>
      <c r="C244" s="6" t="s">
        <v>185</v>
      </c>
      <c r="D244" s="44">
        <f t="shared" si="21"/>
        <v>2</v>
      </c>
      <c r="E244" s="6" t="s">
        <v>56</v>
      </c>
      <c r="F244" s="9">
        <f>Y244+SUMIFS('บันทึกของเข้า-ออก'!$J:$J,'บันทึกของเข้า-ออก'!$B:$B,สรุป!$C244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4" s="9">
        <f>Z244+SUMIFS('บันทึกของเข้า-ออก'!$J:$J,'บันทึกของเข้า-ออก'!$B:$B,สรุป!$C244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4" s="9">
        <v>2</v>
      </c>
      <c r="I244" s="9">
        <f>AB244+SUMIFS('บันทึกของเข้า-ออก'!$J:$J,'บันทึกของเข้า-ออก'!$B:$B,สรุป!$C244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4" s="9">
        <f>AC244+SUMIFS('บันทึกของเข้า-ออก'!$J:$J,'บันทึกของเข้า-ออก'!$B:$B,สรุป!$C244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4" s="9">
        <f>AD244+SUMIFS('บันทึกของเข้า-ออก'!$J:$J,'บันทึกของเข้า-ออก'!$B:$B,สรุป!$C244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4" s="9">
        <f>AE244+SUMIFS('บันทึกของเข้า-ออก'!$J:$J,'บันทึกของเข้า-ออก'!$B:$B,สรุป!$C244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4" s="9">
        <f>AF244+SUMIFS('บันทึกของเข้า-ออก'!$J:$J,'บันทึกของเข้า-ออก'!$B:$B,สรุป!$C244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4" s="9">
        <f>AG244+SUMIFS('บันทึกของเข้า-ออก'!$J:$J,'บันทึกของเข้า-ออก'!$B:$B,สรุป!$C244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4" s="9">
        <f>AH244+SUMIFS('บันทึกของเข้า-ออก'!$J:$J,'บันทึกของเข้า-ออก'!$B:$B,สรุป!$C244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44" s="9">
        <f>AI244+SUMIFS('บันทึกของเข้า-ออก'!$J:$J,'บันทึกของเข้า-ออก'!$B:$B,สรุป!$C244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4" s="9">
        <f>AJ244+SUMIFS('บันทึกของเข้า-ออก'!$J:$J,'บันทึกของเข้า-ออก'!$B:$B,สรุป!$C244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4" s="9">
        <f>AK244+SUMIFS('บันทึกของเข้า-ออก'!$J:$J,'บันทึกของเข้า-ออก'!$B:$B,สรุป!$C244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4" s="26"/>
      <c r="T244" s="33"/>
      <c r="U244" s="34"/>
      <c r="V244" s="25" t="str">
        <f t="shared" si="20"/>
        <v>พัดลมดูดอากาศพร้อมสาย</v>
      </c>
      <c r="W244" s="79">
        <v>2</v>
      </c>
      <c r="X244" s="35" t="s">
        <v>56</v>
      </c>
      <c r="Y244" s="26">
        <v>0</v>
      </c>
      <c r="Z244" s="26">
        <v>0</v>
      </c>
      <c r="AA244" s="26">
        <v>0</v>
      </c>
      <c r="AB244" s="26">
        <v>0</v>
      </c>
      <c r="AC244" s="26">
        <v>0</v>
      </c>
      <c r="AD244" s="26">
        <v>0</v>
      </c>
      <c r="AE244" s="26">
        <v>0</v>
      </c>
      <c r="AF244" s="26">
        <v>0</v>
      </c>
      <c r="AG244" s="26">
        <v>0</v>
      </c>
      <c r="AH244" s="26">
        <v>0</v>
      </c>
      <c r="AI244" s="26">
        <v>0</v>
      </c>
      <c r="AJ244" s="26">
        <v>0</v>
      </c>
      <c r="AK244" s="26">
        <v>0</v>
      </c>
      <c r="AL244" s="34"/>
    </row>
    <row r="245" spans="2:38" x14ac:dyDescent="0.3">
      <c r="B245" s="43" t="s">
        <v>103</v>
      </c>
      <c r="C245" s="6" t="s">
        <v>239</v>
      </c>
      <c r="D245" s="44">
        <f t="shared" si="21"/>
        <v>0</v>
      </c>
      <c r="E245" s="6" t="s">
        <v>56</v>
      </c>
      <c r="F245" s="9">
        <f>Y245+SUMIFS('บันทึกของเข้า-ออก'!$J:$J,'บันทึกของเข้า-ออก'!$B:$B,สรุป!$C245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5" s="9">
        <f>Z245+SUMIFS('บันทึกของเข้า-ออก'!$J:$J,'บันทึกของเข้า-ออก'!$B:$B,สรุป!$C245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5" s="9">
        <f>AA245+SUMIFS('บันทึกของเข้า-ออก'!$J:$J,'บันทึกของเข้า-ออก'!$B:$B,สรุป!$C245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45" s="9">
        <f>AB245+SUMIFS('บันทึกของเข้า-ออก'!$J:$J,'บันทึกของเข้า-ออก'!$B:$B,สรุป!$C245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5" s="9">
        <f>AC245+SUMIFS('บันทึกของเข้า-ออก'!$J:$J,'บันทึกของเข้า-ออก'!$B:$B,สรุป!$C245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5" s="9">
        <f>AD245+SUMIFS('บันทึกของเข้า-ออก'!$J:$J,'บันทึกของเข้า-ออก'!$B:$B,สรุป!$C245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5" s="9">
        <f>AE245+SUMIFS('บันทึกของเข้า-ออก'!$J:$J,'บันทึกของเข้า-ออก'!$B:$B,สรุป!$C245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5" s="9">
        <f>AF245+SUMIFS('บันทึกของเข้า-ออก'!$J:$J,'บันทึกของเข้า-ออก'!$B:$B,สรุป!$C245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5" s="9">
        <f>AG245+SUMIFS('บันทึกของเข้า-ออก'!$J:$J,'บันทึกของเข้า-ออก'!$B:$B,สรุป!$C245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5" s="9">
        <f>AH245+SUMIFS('บันทึกของเข้า-ออก'!$J:$J,'บันทึกของเข้า-ออก'!$B:$B,สรุป!$C245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45" s="9">
        <f>AI245+SUMIFS('บันทึกของเข้า-ออก'!$J:$J,'บันทึกของเข้า-ออก'!$B:$B,สรุป!$C245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5" s="9">
        <f>AJ245+SUMIFS('บันทึกของเข้า-ออก'!$J:$J,'บันทึกของเข้า-ออก'!$B:$B,สรุป!$C245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5" s="9">
        <f>AK245+SUMIFS('บันทึกของเข้า-ออก'!$J:$J,'บันทึกของเข้า-ออก'!$B:$B,สรุป!$C245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5" s="26"/>
      <c r="T245" s="33"/>
      <c r="U245" s="34"/>
      <c r="V245" s="25" t="str">
        <f t="shared" si="20"/>
        <v>พัดลม 18 นิ้ว</v>
      </c>
      <c r="W245" s="79">
        <v>2</v>
      </c>
      <c r="X245" s="35" t="s">
        <v>56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34"/>
    </row>
    <row r="246" spans="2:38" x14ac:dyDescent="0.3">
      <c r="B246" s="43" t="s">
        <v>103</v>
      </c>
      <c r="C246" s="6" t="s">
        <v>263</v>
      </c>
      <c r="D246" s="44">
        <f t="shared" si="21"/>
        <v>1</v>
      </c>
      <c r="E246" s="6" t="s">
        <v>56</v>
      </c>
      <c r="F246" s="9">
        <f>Y246+SUMIFS('บันทึกของเข้า-ออก'!$J:$J,'บันทึกของเข้า-ออก'!$B:$B,สรุป!$C246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6" s="9">
        <f>Z246+SUMIFS('บันทึกของเข้า-ออก'!$J:$J,'บันทึกของเข้า-ออก'!$B:$B,สรุป!$C246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6" s="9">
        <f>AA246+SUMIFS('บันทึกของเข้า-ออก'!$J:$J,'บันทึกของเข้า-ออก'!$B:$B,สรุป!$C246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46" s="9">
        <f>AB246+SUMIFS('บันทึกของเข้า-ออก'!$J:$J,'บันทึกของเข้า-ออก'!$B:$B,สรุป!$C246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6" s="9">
        <f>AC246+SUMIFS('บันทึกของเข้า-ออก'!$J:$J,'บันทึกของเข้า-ออก'!$B:$B,สรุป!$C246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46" s="9">
        <f>AD246+SUMIFS('บันทึกของเข้า-ออก'!$J:$J,'บันทึกของเข้า-ออก'!$B:$B,สรุป!$C246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6" s="9">
        <f>AE246+SUMIFS('บันทึกของเข้า-ออก'!$J:$J,'บันทึกของเข้า-ออก'!$B:$B,สรุป!$C246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6" s="9">
        <v>1</v>
      </c>
      <c r="N246" s="9">
        <f>AG246+SUMIFS('บันทึกของเข้า-ออก'!$J:$J,'บันทึกของเข้า-ออก'!$B:$B,สรุป!$C246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6" s="9">
        <f>AH246+SUMIFS('บันทึกของเข้า-ออก'!$J:$J,'บันทึกของเข้า-ออก'!$B:$B,สรุป!$C246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46" s="9">
        <f>AI246+SUMIFS('บันทึกของเข้า-ออก'!$J:$J,'บันทึกของเข้า-ออก'!$B:$B,สรุป!$C246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6" s="9">
        <f>AJ246+SUMIFS('บันทึกของเข้า-ออก'!$J:$J,'บันทึกของเข้า-ออก'!$B:$B,สรุป!$C246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6" s="9">
        <f>AK246+SUMIFS('บันทึกของเข้า-ออก'!$J:$J,'บันทึกของเข้า-ออก'!$B:$B,สรุป!$C246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6" s="26"/>
      <c r="T246" s="33"/>
      <c r="U246" s="34"/>
      <c r="V246" s="25" t="str">
        <f t="shared" si="20"/>
        <v>เครื่องวัดความหนาสี</v>
      </c>
      <c r="W246" s="79">
        <v>1</v>
      </c>
      <c r="X246" s="35" t="s">
        <v>56</v>
      </c>
      <c r="Y246" s="26">
        <v>0</v>
      </c>
      <c r="Z246" s="26">
        <v>0</v>
      </c>
      <c r="AA246" s="26">
        <v>0</v>
      </c>
      <c r="AB246" s="26">
        <v>0</v>
      </c>
      <c r="AC246" s="26">
        <v>0</v>
      </c>
      <c r="AD246" s="26">
        <v>0</v>
      </c>
      <c r="AE246" s="26">
        <v>0</v>
      </c>
      <c r="AF246" s="26">
        <v>0</v>
      </c>
      <c r="AG246" s="26">
        <v>0</v>
      </c>
      <c r="AH246" s="26">
        <v>0</v>
      </c>
      <c r="AI246" s="26">
        <v>0</v>
      </c>
      <c r="AJ246" s="26">
        <v>0</v>
      </c>
      <c r="AK246" s="26">
        <v>0</v>
      </c>
      <c r="AL246" s="34"/>
    </row>
    <row r="247" spans="2:38" x14ac:dyDescent="0.3">
      <c r="B247" s="43" t="s">
        <v>103</v>
      </c>
      <c r="C247" s="6" t="s">
        <v>240</v>
      </c>
      <c r="D247" s="44">
        <f t="shared" si="21"/>
        <v>3</v>
      </c>
      <c r="E247" s="6" t="s">
        <v>56</v>
      </c>
      <c r="F247" s="9">
        <f>Y247+SUMIFS('บันทึกของเข้า-ออก'!$J:$J,'บันทึกของเข้า-ออก'!$B:$B,สรุป!$C247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7" s="9">
        <f>Z247+SUMIFS('บันทึกของเข้า-ออก'!$J:$J,'บันทึกของเข้า-ออก'!$B:$B,สรุป!$C247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7" s="9">
        <v>1</v>
      </c>
      <c r="I247" s="9">
        <f>AB247+SUMIFS('บันทึกของเข้า-ออก'!$J:$J,'บันทึกของเข้า-ออก'!$B:$B,สรุป!$C247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7" s="9">
        <v>2</v>
      </c>
      <c r="K247" s="9">
        <f>AD247+SUMIFS('บันทึกของเข้า-ออก'!$J:$J,'บันทึกของเข้า-ออก'!$B:$B,สรุป!$C247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7" s="9">
        <f>AE247+SUMIFS('บันทึกของเข้า-ออก'!$J:$J,'บันทึกของเข้า-ออก'!$B:$B,สรุป!$C247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7" s="9">
        <f>AF247+SUMIFS('บันทึกของเข้า-ออก'!$J:$J,'บันทึกของเข้า-ออก'!$B:$B,สรุป!$C247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7" s="9">
        <f>AG247+SUMIFS('บันทึกของเข้า-ออก'!$J:$J,'บันทึกของเข้า-ออก'!$B:$B,สรุป!$C247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7" s="9">
        <f>AH247+SUMIFS('บันทึกของเข้า-ออก'!$J:$J,'บันทึกของเข้า-ออก'!$B:$B,สรุป!$C247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47" s="9">
        <f>AI247+SUMIFS('บันทึกของเข้า-ออก'!$J:$J,'บันทึกของเข้า-ออก'!$B:$B,สรุป!$C247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7" s="9">
        <f>AJ247+SUMIFS('บันทึกของเข้า-ออก'!$J:$J,'บันทึกของเข้า-ออก'!$B:$B,สรุป!$C247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7" s="9">
        <f>AK247+SUMIFS('บันทึกของเข้า-ออก'!$J:$J,'บันทึกของเข้า-ออก'!$B:$B,สรุป!$C247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7" s="26"/>
      <c r="T247" s="33"/>
      <c r="U247" s="34"/>
      <c r="V247" s="25" t="str">
        <f t="shared" si="20"/>
        <v>พัดลมอุตาสาหกรรม 24 นิ้ว</v>
      </c>
      <c r="W247" s="79">
        <v>3</v>
      </c>
      <c r="X247" s="35" t="s">
        <v>56</v>
      </c>
      <c r="Y247" s="26">
        <v>0</v>
      </c>
      <c r="Z247" s="26">
        <v>0</v>
      </c>
      <c r="AA247" s="26">
        <v>0</v>
      </c>
      <c r="AB247" s="26">
        <v>0</v>
      </c>
      <c r="AC247" s="26">
        <v>0</v>
      </c>
      <c r="AD247" s="26">
        <v>0</v>
      </c>
      <c r="AE247" s="26">
        <v>0</v>
      </c>
      <c r="AF247" s="26">
        <v>0</v>
      </c>
      <c r="AG247" s="26">
        <v>0</v>
      </c>
      <c r="AH247" s="26">
        <v>0</v>
      </c>
      <c r="AI247" s="26">
        <v>0</v>
      </c>
      <c r="AJ247" s="26">
        <v>0</v>
      </c>
      <c r="AK247" s="26">
        <v>0</v>
      </c>
      <c r="AL247" s="34"/>
    </row>
    <row r="248" spans="2:38" x14ac:dyDescent="0.3">
      <c r="B248" s="43" t="s">
        <v>103</v>
      </c>
      <c r="C248" s="6" t="s">
        <v>44</v>
      </c>
      <c r="D248" s="62">
        <f t="shared" si="21"/>
        <v>3</v>
      </c>
      <c r="E248" s="6" t="s">
        <v>56</v>
      </c>
      <c r="F248" s="9">
        <f>Y248+SUMIFS('บันทึกของเข้า-ออก'!$J:$J,'บันทึกของเข้า-ออก'!$B:$B,สรุป!$C248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8" s="9">
        <f>Z248+SUMIFS('บันทึกของเข้า-ออก'!$J:$J,'บันทึกของเข้า-ออก'!$B:$B,สรุป!$C248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8" s="9">
        <f>AA248+SUMIFS('บันทึกของเข้า-ออก'!$J:$J,'บันทึกของเข้า-ออก'!$B:$B,สรุป!$C248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H$5,'บันทึกของเข้า-ออก'!$D:$D,"&gt;="&amp;สรุป!$F$2,'บันทึกของเข้า-ออก'!$D:$D,"&lt;="&amp;สรุป!$G$2)</f>
        <v>1</v>
      </c>
      <c r="I248" s="9">
        <f>AB248+SUMIFS('บันทึกของเข้า-ออก'!$J:$J,'บันทึกของเข้า-ออก'!$B:$B,สรุป!$C248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8" s="9">
        <f>AC248+SUMIFS('บันทึกของเข้า-ออก'!$J:$J,'บันทึกของเข้า-ออก'!$B:$B,สรุป!$C248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248" s="9">
        <f>AD248+SUMIFS('บันทึกของเข้า-ออก'!$J:$J,'บันทึกของเข้า-ออก'!$B:$B,สรุป!$C248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8" s="9">
        <f>AE248+SUMIFS('บันทึกของเข้า-ออก'!$J:$J,'บันทึกของเข้า-ออก'!$B:$B,สรุป!$C248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8" s="9">
        <f>AF248+SUMIFS('บันทึกของเข้า-ออก'!$J:$J,'บันทึกของเข้า-ออก'!$B:$B,สรุป!$C248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8" s="9">
        <f>AG248+SUMIFS('บันทึกของเข้า-ออก'!$J:$J,'บันทึกของเข้า-ออก'!$B:$B,สรุป!$C248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8" s="9">
        <f>AH248+SUMIFS('บันทึกของเข้า-ออก'!$J:$J,'บันทึกของเข้า-ออก'!$B:$B,สรุป!$C248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48" s="9">
        <f>AI248+SUMIFS('บันทึกของเข้า-ออก'!$J:$J,'บันทึกของเข้า-ออก'!$B:$B,สรุป!$C248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8" s="9">
        <f>AJ248+SUMIFS('บันทึกของเข้า-ออก'!$J:$J,'บันทึกของเข้า-ออก'!$B:$B,สรุป!$C248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8" s="9">
        <f>AK248+SUMIFS('บันทึกของเข้า-ออก'!$J:$J,'บันทึกของเข้า-ออก'!$B:$B,สรุป!$C248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8" s="26"/>
      <c r="T248" s="33"/>
      <c r="U248" s="34"/>
      <c r="V248" s="25" t="str">
        <f t="shared" si="20"/>
        <v>ลิฟท์กระป๋อง</v>
      </c>
      <c r="W248" s="79">
        <v>2</v>
      </c>
      <c r="X248" s="35" t="s">
        <v>56</v>
      </c>
      <c r="Y248" s="26">
        <v>0</v>
      </c>
      <c r="Z248" s="26">
        <v>0</v>
      </c>
      <c r="AA248" s="26">
        <v>2</v>
      </c>
      <c r="AB248" s="26">
        <v>0</v>
      </c>
      <c r="AC248" s="26">
        <v>1</v>
      </c>
      <c r="AD248" s="26">
        <v>0</v>
      </c>
      <c r="AE248" s="26">
        <v>0</v>
      </c>
      <c r="AF248" s="26">
        <v>0</v>
      </c>
      <c r="AG248" s="26">
        <v>0</v>
      </c>
      <c r="AH248" s="26">
        <v>0</v>
      </c>
      <c r="AI248" s="26">
        <v>0</v>
      </c>
      <c r="AJ248" s="26">
        <v>0</v>
      </c>
      <c r="AK248" s="26">
        <v>0</v>
      </c>
      <c r="AL248" s="34"/>
    </row>
    <row r="249" spans="2:38" x14ac:dyDescent="0.3">
      <c r="B249" s="43" t="s">
        <v>103</v>
      </c>
      <c r="C249" s="6" t="s">
        <v>414</v>
      </c>
      <c r="D249" s="62">
        <f t="shared" si="21"/>
        <v>1</v>
      </c>
      <c r="E249" s="6" t="s">
        <v>56</v>
      </c>
      <c r="F249" s="9">
        <f>Y249+SUMIFS('บันทึกของเข้า-ออก'!$J:$J,'บันทึกของเข้า-ออก'!$B:$B,สรุป!$C249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49" s="9">
        <f>Z249+SUMIFS('บันทึกของเข้า-ออก'!$J:$J,'บันทึกของเข้า-ออก'!$B:$B,สรุป!$C249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49" s="9">
        <f>AA249+SUMIFS('บันทึกของเข้า-ออก'!$J:$J,'บันทึกของเข้า-ออก'!$B:$B,สรุป!$C249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49" s="9">
        <f>AB249+SUMIFS('บันทึกของเข้า-ออก'!$J:$J,'บันทึกของเข้า-ออก'!$B:$B,สรุป!$C249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49" s="9">
        <v>1</v>
      </c>
      <c r="K249" s="9">
        <f>AD249+SUMIFS('บันทึกของเข้า-ออก'!$J:$J,'บันทึกของเข้า-ออก'!$B:$B,สรุป!$C249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49" s="9">
        <f>AE249+SUMIFS('บันทึกของเข้า-ออก'!$J:$J,'บันทึกของเข้า-ออก'!$B:$B,สรุป!$C249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49" s="9">
        <f>AF249+SUMIFS('บันทึกของเข้า-ออก'!$J:$J,'บันทึกของเข้า-ออก'!$B:$B,สรุป!$C249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49" s="9">
        <f>AG249+SUMIFS('บันทึกของเข้า-ออก'!$J:$J,'บันทึกของเข้า-ออก'!$B:$B,สรุป!$C249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49" s="9">
        <f>AH249+SUMIFS('บันทึกของเข้า-ออก'!$J:$J,'บันทึกของเข้า-ออก'!$B:$B,สรุป!$C249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49" s="9">
        <f>AI249+SUMIFS('บันทึกของเข้า-ออก'!$J:$J,'บันทึกของเข้า-ออก'!$B:$B,สรุป!$C249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49" s="9">
        <f>AJ249+SUMIFS('บันทึกของเข้า-ออก'!$J:$J,'บันทึกของเข้า-ออก'!$B:$B,สรุป!$C249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49" s="9">
        <f>AK249+SUMIFS('บันทึกของเข้า-ออก'!$J:$J,'บันทึกของเข้า-ออก'!$B:$B,สรุป!$C249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249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49" s="26"/>
      <c r="T249" s="33"/>
      <c r="U249" s="34"/>
      <c r="V249" s="25" t="str">
        <f t="shared" si="20"/>
        <v>แฮนด์ลิฟท์ 2.5 ตัน</v>
      </c>
      <c r="W249" s="79">
        <v>1</v>
      </c>
      <c r="X249" s="35" t="s">
        <v>56</v>
      </c>
      <c r="Y249" s="26">
        <v>0</v>
      </c>
      <c r="Z249" s="26">
        <v>0</v>
      </c>
      <c r="AA249" s="26">
        <v>0</v>
      </c>
      <c r="AB249" s="26">
        <v>0</v>
      </c>
      <c r="AC249" s="26">
        <v>1</v>
      </c>
      <c r="AD249" s="26">
        <v>0</v>
      </c>
      <c r="AE249" s="26">
        <v>0</v>
      </c>
      <c r="AF249" s="26">
        <v>0</v>
      </c>
      <c r="AG249" s="26">
        <v>0</v>
      </c>
      <c r="AH249" s="26">
        <v>0</v>
      </c>
      <c r="AI249" s="26">
        <v>0</v>
      </c>
      <c r="AJ249" s="26">
        <v>0</v>
      </c>
      <c r="AK249" s="26">
        <v>0</v>
      </c>
      <c r="AL249" s="34"/>
    </row>
    <row r="250" spans="2:38" x14ac:dyDescent="0.3">
      <c r="B250" s="43" t="s">
        <v>103</v>
      </c>
      <c r="C250" s="6" t="s">
        <v>283</v>
      </c>
      <c r="D250" s="62">
        <f t="shared" si="21"/>
        <v>6</v>
      </c>
      <c r="E250" s="6" t="s">
        <v>56</v>
      </c>
      <c r="F250" s="9">
        <f>Y250+SUMIFS('บันทึกของเข้า-ออก'!$J:$J,'บันทึกของเข้า-ออก'!$B:$B,สรุป!$C250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0" s="9">
        <f>Z250+SUMIFS('บันทึกของเข้า-ออก'!$J:$J,'บันทึกของเข้า-ออก'!$B:$B,สรุป!$C250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G$5,'บันทึกของเข้า-ออก'!$D:$D,"&gt;="&amp;สรุป!$F$2,'บันทึกของเข้า-ออก'!$D:$D,"&lt;="&amp;สรุป!$G$2)</f>
        <v>3</v>
      </c>
      <c r="H250" s="9">
        <f>AA250+SUMIFS('บันทึกของเข้า-ออก'!$J:$J,'บันทึกของเข้า-ออก'!$B:$B,สรุป!$C250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0" s="9">
        <f>AB250+SUMIFS('บันทึกของเข้า-ออก'!$J:$J,'บันทึกของเข้า-ออก'!$B:$B,สรุป!$C250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0" s="9">
        <v>0</v>
      </c>
      <c r="K250" s="9">
        <f>AD250+SUMIFS('บันทึกของเข้า-ออก'!$J:$J,'บันทึกของเข้า-ออก'!$B:$B,สรุป!$C250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0" s="9">
        <f>AE250+SUMIFS('บันทึกของเข้า-ออก'!$J:$J,'บันทึกของเข้า-ออก'!$B:$B,สรุป!$C250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0" s="9">
        <f>AF250+SUMIFS('บันทึกของเข้า-ออก'!$J:$J,'บันทึกของเข้า-ออก'!$B:$B,สรุป!$C250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M$5,'บันทึกของเข้า-ออก'!$D:$D,"&gt;="&amp;สรุป!$F$2,'บันทึกของเข้า-ออก'!$D:$D,"&lt;="&amp;สรุป!$G$2)</f>
        <v>1</v>
      </c>
      <c r="N250" s="9">
        <f>AG250+SUMIFS('บันทึกของเข้า-ออก'!$J:$J,'บันทึกของเข้า-ออก'!$B:$B,สรุป!$C250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250" s="9">
        <f>AH250+SUMIFS('บันทึกของเข้า-ออก'!$J:$J,'บันทึกของเข้า-ออก'!$B:$B,สรุป!$C250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50" s="9">
        <f>AI250+SUMIFS('บันทึกของเข้า-ออก'!$J:$J,'บันทึกของเข้า-ออก'!$B:$B,สรุป!$C250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0" s="9">
        <f>AJ250+SUMIFS('บันทึกของเข้า-ออก'!$J:$J,'บันทึกของเข้า-ออก'!$B:$B,สรุป!$C250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0" s="9">
        <f>AK250+SUMIFS('บันทึกของเข้า-ออก'!$J:$J,'บันทึกของเข้า-ออก'!$B:$B,สรุป!$C250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0" s="26"/>
      <c r="T250" s="33"/>
      <c r="U250" s="34"/>
      <c r="V250" s="25" t="str">
        <f t="shared" si="20"/>
        <v>ลูกหมู 7 นิ้ว</v>
      </c>
      <c r="W250" s="79">
        <v>6</v>
      </c>
      <c r="X250" s="35" t="s">
        <v>56</v>
      </c>
      <c r="Y250" s="26">
        <v>0</v>
      </c>
      <c r="Z250" s="26">
        <v>3</v>
      </c>
      <c r="AA250" s="26">
        <v>0</v>
      </c>
      <c r="AB250" s="26">
        <v>0</v>
      </c>
      <c r="AC250" s="26">
        <v>0</v>
      </c>
      <c r="AD250" s="26">
        <v>0</v>
      </c>
      <c r="AE250" s="26">
        <v>0</v>
      </c>
      <c r="AF250" s="26">
        <v>1</v>
      </c>
      <c r="AG250" s="26">
        <v>1</v>
      </c>
      <c r="AH250" s="26">
        <v>1</v>
      </c>
      <c r="AI250" s="26">
        <v>0</v>
      </c>
      <c r="AJ250" s="26">
        <v>0</v>
      </c>
      <c r="AK250" s="26">
        <v>0</v>
      </c>
      <c r="AL250" s="34"/>
    </row>
    <row r="251" spans="2:38" x14ac:dyDescent="0.3">
      <c r="B251" s="43" t="s">
        <v>103</v>
      </c>
      <c r="C251" s="6" t="s">
        <v>45</v>
      </c>
      <c r="D251" s="62">
        <f t="shared" si="21"/>
        <v>9</v>
      </c>
      <c r="E251" s="6" t="s">
        <v>56</v>
      </c>
      <c r="F251" s="9">
        <f>Y251+SUMIFS('บันทึกของเข้า-ออก'!$J:$J,'บันทึกของเข้า-ออก'!$B:$B,สรุป!$C251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1" s="9">
        <v>3</v>
      </c>
      <c r="H251" s="9">
        <f>AA251+SUMIFS('บันทึกของเข้า-ออก'!$J:$J,'บันทึกของเข้า-ออก'!$B:$B,สรุป!$C251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H$5,'บันทึกของเข้า-ออก'!$D:$D,"&gt;="&amp;สรุป!$F$2,'บันทึกของเข้า-ออก'!$D:$D,"&lt;="&amp;สรุป!$G$2)</f>
        <v>2</v>
      </c>
      <c r="I251" s="9">
        <f>AB251+SUMIFS('บันทึกของเข้า-ออก'!$J:$J,'บันทึกของเข้า-ออก'!$B:$B,สรุป!$C251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1" s="9">
        <v>1</v>
      </c>
      <c r="K251" s="9">
        <f>AD251+SUMIFS('บันทึกของเข้า-ออก'!$J:$J,'บันทึกของเข้า-ออก'!$B:$B,สรุป!$C251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1" s="9">
        <f>AE251+SUMIFS('บันทึกของเข้า-ออก'!$J:$J,'บันทึกของเข้า-ออก'!$B:$B,สรุป!$C251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1" s="9">
        <v>2</v>
      </c>
      <c r="N251" s="9">
        <f>AG251+SUMIFS('บันทึกของเข้า-ออก'!$J:$J,'บันทึกของเข้า-ออก'!$B:$B,สรุป!$C251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N$5,'บันทึกของเข้า-ออก'!$D:$D,"&gt;="&amp;สรุป!$F$2,'บันทึกของเข้า-ออก'!$D:$D,"&lt;="&amp;สรุป!$G$2)</f>
        <v>1</v>
      </c>
      <c r="O251" s="9">
        <f>AH251+SUMIFS('บันทึกของเข้า-ออก'!$J:$J,'บันทึกของเข้า-ออก'!$B:$B,สรุป!$C251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51" s="9">
        <f>AI251+SUMIFS('บันทึกของเข้า-ออก'!$J:$J,'บันทึกของเข้า-ออก'!$B:$B,สรุป!$C251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1" s="9">
        <f>AJ251+SUMIFS('บันทึกของเข้า-ออก'!$J:$J,'บันทึกของเข้า-ออก'!$B:$B,สรุป!$C251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1" s="9">
        <f>AK251+SUMIFS('บันทึกของเข้า-ออก'!$J:$J,'บันทึกของเข้า-ออก'!$B:$B,สรุป!$C251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1" s="26"/>
      <c r="T251" s="33"/>
      <c r="U251" s="34"/>
      <c r="V251" s="25" t="str">
        <f t="shared" si="20"/>
        <v>ลูกหมู 4 นิ้ว</v>
      </c>
      <c r="W251" s="79">
        <v>7</v>
      </c>
      <c r="X251" s="35" t="s">
        <v>56</v>
      </c>
      <c r="Y251" s="26">
        <v>0</v>
      </c>
      <c r="Z251" s="26">
        <v>2</v>
      </c>
      <c r="AA251" s="26">
        <v>2</v>
      </c>
      <c r="AB251" s="26">
        <v>0</v>
      </c>
      <c r="AC251" s="26">
        <v>0</v>
      </c>
      <c r="AD251" s="26">
        <v>0</v>
      </c>
      <c r="AE251" s="26">
        <v>0</v>
      </c>
      <c r="AF251" s="26">
        <v>1</v>
      </c>
      <c r="AG251" s="26">
        <v>1</v>
      </c>
      <c r="AH251" s="26">
        <v>1</v>
      </c>
      <c r="AI251" s="26">
        <v>0</v>
      </c>
      <c r="AJ251" s="26">
        <v>0</v>
      </c>
      <c r="AK251" s="26">
        <v>0</v>
      </c>
      <c r="AL251" s="34"/>
    </row>
    <row r="252" spans="2:38" x14ac:dyDescent="0.3">
      <c r="B252" s="43" t="s">
        <v>103</v>
      </c>
      <c r="C252" s="6" t="s">
        <v>332</v>
      </c>
      <c r="D252" s="62">
        <f t="shared" si="21"/>
        <v>1</v>
      </c>
      <c r="E252" s="6" t="s">
        <v>331</v>
      </c>
      <c r="F252" s="9">
        <f>Y252+SUMIFS('บันทึกของเข้า-ออก'!$J:$J,'บันทึกของเข้า-ออก'!$B:$B,สรุป!$C252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2" s="9">
        <f>Z252+SUMIFS('บันทึกของเข้า-ออก'!$J:$J,'บันทึกของเข้า-ออก'!$B:$B,สรุป!$C252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52" s="9">
        <f>AA252+SUMIFS('บันทึกของเข้า-ออก'!$J:$J,'บันทึกของเข้า-ออก'!$B:$B,สรุป!$C252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2" s="9">
        <f>AB252+SUMIFS('บันทึกของเข้า-ออก'!$J:$J,'บันทึกของเข้า-ออก'!$B:$B,สรุป!$C252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2" s="9"/>
      <c r="K252" s="9">
        <f>AD252+SUMIFS('บันทึกของเข้า-ออก'!$J:$J,'บันทึกของเข้า-ออก'!$B:$B,สรุป!$C252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2" s="9">
        <f>AE252+SUMIFS('บันทึกของเข้า-ออก'!$J:$J,'บันทึกของเข้า-ออก'!$B:$B,สรุป!$C252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2" s="9">
        <f>AF252+SUMIFS('บันทึกของเข้า-ออก'!$J:$J,'บันทึกของเข้า-ออก'!$B:$B,สรุป!$C252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2" s="9">
        <f>AG252+SUMIFS('บันทึกของเข้า-ออก'!$J:$J,'บันทึกของเข้า-ออก'!$B:$B,สรุป!$C252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2" s="9">
        <f>AH252+SUMIFS('บันทึกของเข้า-ออก'!$J:$J,'บันทึกของเข้า-ออก'!$B:$B,สรุป!$C252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52" s="9">
        <f>AI252+SUMIFS('บันทึกของเข้า-ออก'!$J:$J,'บันทึกของเข้า-ออก'!$B:$B,สรุป!$C252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2" s="9">
        <f>AJ252+SUMIFS('บันทึกของเข้า-ออก'!$J:$J,'บันทึกของเข้า-ออก'!$B:$B,สรุป!$C252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2" s="9">
        <f>AK252+SUMIFS('บันทึกของเข้า-ออก'!$J:$J,'บันทึกของเข้า-ออก'!$B:$B,สรุป!$C252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2" s="26"/>
      <c r="T252" s="33"/>
      <c r="U252" s="34"/>
      <c r="V252" s="25" t="str">
        <f t="shared" si="20"/>
        <v>สายวายจี้ 1 นิ้ว ยาว 6 ม.</v>
      </c>
      <c r="W252" s="79">
        <v>1</v>
      </c>
      <c r="X252" s="35"/>
      <c r="Y252" s="26">
        <v>0</v>
      </c>
      <c r="Z252" s="26">
        <v>0</v>
      </c>
      <c r="AA252" s="26">
        <v>0</v>
      </c>
      <c r="AB252" s="26">
        <v>0</v>
      </c>
      <c r="AC252" s="26">
        <v>0</v>
      </c>
      <c r="AD252" s="26">
        <v>0</v>
      </c>
      <c r="AE252" s="26">
        <v>0</v>
      </c>
      <c r="AF252" s="26">
        <v>0</v>
      </c>
      <c r="AG252" s="26">
        <v>0</v>
      </c>
      <c r="AH252" s="26">
        <v>1</v>
      </c>
      <c r="AI252" s="26">
        <v>0</v>
      </c>
      <c r="AJ252" s="26">
        <v>0</v>
      </c>
      <c r="AK252" s="26">
        <v>0</v>
      </c>
      <c r="AL252" s="34"/>
    </row>
    <row r="253" spans="2:38" x14ac:dyDescent="0.3">
      <c r="B253" s="43" t="s">
        <v>103</v>
      </c>
      <c r="C253" s="6" t="s">
        <v>243</v>
      </c>
      <c r="D253" s="62">
        <f t="shared" si="21"/>
        <v>3</v>
      </c>
      <c r="E253" s="6" t="s">
        <v>56</v>
      </c>
      <c r="F253" s="9">
        <f>Y253+SUMIFS('บันทึกของเข้า-ออก'!$J:$J,'บันทึกของเข้า-ออก'!$B:$B,สรุป!$C253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3" s="9">
        <f>Z253+SUMIFS('บันทึกของเข้า-ออก'!$J:$J,'บันทึกของเข้า-ออก'!$B:$B,สรุป!$C253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G$5,'บันทึกของเข้า-ออก'!$D:$D,"&gt;="&amp;สรุป!$F$2,'บันทึกของเข้า-ออก'!$D:$D,"&lt;="&amp;สรุป!$G$2)</f>
        <v>1</v>
      </c>
      <c r="H253" s="9">
        <f>AA253+SUMIFS('บันทึกของเข้า-ออก'!$J:$J,'บันทึกของเข้า-ออก'!$B:$B,สรุป!$C253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3" s="9">
        <f>AB253+SUMIFS('บันทึกของเข้า-ออก'!$J:$J,'บันทึกของเข้า-ออก'!$B:$B,สรุป!$C253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3" s="9">
        <f>AC253+SUMIFS('บันทึกของเข้า-ออก'!$J:$J,'บันทึกของเข้า-ออก'!$B:$B,สรุป!$C253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53" s="9">
        <f>AD253+SUMIFS('บันทึกของเข้า-ออก'!$J:$J,'บันทึกของเข้า-ออก'!$B:$B,สรุป!$C253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3" s="9">
        <f>AE253+SUMIFS('บันทึกของเข้า-ออก'!$J:$J,'บันทึกของเข้า-ออก'!$B:$B,สรุป!$C253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3" s="9">
        <f>AF253+SUMIFS('บันทึกของเข้า-ออก'!$J:$J,'บันทึกของเข้า-ออก'!$B:$B,สรุป!$C253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3" s="9">
        <f>AG253+SUMIFS('บันทึกของเข้า-ออก'!$J:$J,'บันทึกของเข้า-ออก'!$B:$B,สรุป!$C253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3" s="9">
        <f>AH253+SUMIFS('บันทึกของเข้า-ออก'!$J:$J,'บันทึกของเข้า-ออก'!$B:$B,สรุป!$C253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O$5,'บันทึกของเข้า-ออก'!$D:$D,"&gt;="&amp;สรุป!$F$2,'บันทึกของเข้า-ออก'!$D:$D,"&lt;="&amp;สรุป!$G$2)</f>
        <v>2</v>
      </c>
      <c r="P253" s="9">
        <f>AI253+SUMIFS('บันทึกของเข้า-ออก'!$J:$J,'บันทึกของเข้า-ออก'!$B:$B,สรุป!$C253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3" s="9">
        <f>AJ253+SUMIFS('บันทึกของเข้า-ออก'!$J:$J,'บันทึกของเข้า-ออก'!$B:$B,สรุป!$C253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3" s="9">
        <f>AK253+SUMIFS('บันทึกของเข้า-ออก'!$J:$J,'บันทึกของเข้า-ออก'!$B:$B,สรุป!$C253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3" s="26"/>
      <c r="T253" s="33"/>
      <c r="U253" s="34"/>
      <c r="V253" s="25" t="str">
        <f t="shared" si="20"/>
        <v>วายจี้ปูนไฟฟ้า 1 นิ้ว ยาว 2 ม.</v>
      </c>
      <c r="W253" s="79">
        <v>3</v>
      </c>
      <c r="X253" s="35" t="s">
        <v>56</v>
      </c>
      <c r="Y253" s="26">
        <v>0</v>
      </c>
      <c r="Z253" s="26">
        <v>1</v>
      </c>
      <c r="AA253" s="26">
        <v>0</v>
      </c>
      <c r="AB253" s="26">
        <v>0</v>
      </c>
      <c r="AC253" s="26">
        <v>0</v>
      </c>
      <c r="AD253" s="26">
        <v>0</v>
      </c>
      <c r="AE253" s="26">
        <v>0</v>
      </c>
      <c r="AF253" s="26">
        <v>0</v>
      </c>
      <c r="AG253" s="26">
        <v>0</v>
      </c>
      <c r="AH253" s="26">
        <v>2</v>
      </c>
      <c r="AI253" s="26">
        <v>0</v>
      </c>
      <c r="AJ253" s="26">
        <v>0</v>
      </c>
      <c r="AK253" s="26">
        <v>0</v>
      </c>
      <c r="AL253" s="34"/>
    </row>
    <row r="254" spans="2:38" x14ac:dyDescent="0.3">
      <c r="B254" s="43" t="s">
        <v>103</v>
      </c>
      <c r="C254" s="6" t="s">
        <v>244</v>
      </c>
      <c r="D254" s="62">
        <f t="shared" si="21"/>
        <v>3</v>
      </c>
      <c r="E254" s="6" t="s">
        <v>56</v>
      </c>
      <c r="F254" s="9">
        <f>Y254+SUMIFS('บันทึกของเข้า-ออก'!$J:$J,'บันทึกของเข้า-ออก'!$B:$B,สรุป!$C254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4" s="9">
        <f>Z254+SUMIFS('บันทึกของเข้า-ออก'!$J:$J,'บันทึกของเข้า-ออก'!$B:$B,สรุป!$C254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54" s="9">
        <v>2</v>
      </c>
      <c r="I254" s="9">
        <f>AB254+SUMIFS('บันทึกของเข้า-ออก'!$J:$J,'บันทึกของเข้า-ออก'!$B:$B,สรุป!$C254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4" s="9">
        <f>AC254+SUMIFS('บันทึกของเข้า-ออก'!$J:$J,'บันทึกของเข้า-ออก'!$B:$B,สรุป!$C254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54" s="9">
        <f>AD254+SUMIFS('บันทึกของเข้า-ออก'!$J:$J,'บันทึกของเข้า-ออก'!$B:$B,สรุป!$C254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4" s="9">
        <f>AE254+SUMIFS('บันทึกของเข้า-ออก'!$J:$J,'บันทึกของเข้า-ออก'!$B:$B,สรุป!$C254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4" s="9">
        <f>AF254+SUMIFS('บันทึกของเข้า-ออก'!$J:$J,'บันทึกของเข้า-ออก'!$B:$B,สรุป!$C254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4" s="9">
        <f>AG254+SUMIFS('บันทึกของเข้า-ออก'!$J:$J,'บันทึกของเข้า-ออก'!$B:$B,สรุป!$C254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4" s="9">
        <f>AH254+SUMIFS('บันทึกของเข้า-ออก'!$J:$J,'บันทึกของเข้า-ออก'!$B:$B,สรุป!$C254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54" s="9">
        <f>AI254+SUMIFS('บันทึกของเข้า-ออก'!$J:$J,'บันทึกของเข้า-ออก'!$B:$B,สรุป!$C254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4" s="9">
        <f>AJ254+SUMIFS('บันทึกของเข้า-ออก'!$J:$J,'บันทึกของเข้า-ออก'!$B:$B,สรุป!$C254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4" s="9">
        <f>AK254+SUMIFS('บันทึกของเข้า-ออก'!$J:$J,'บันทึกของเข้า-ออก'!$B:$B,สรุป!$C254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4" s="26"/>
      <c r="T254" s="33"/>
      <c r="U254" s="34"/>
      <c r="V254" s="25" t="str">
        <f t="shared" si="20"/>
        <v>วายจี้ปูน 1.5 นิ้ว ยาว 6 ม.</v>
      </c>
      <c r="W254" s="79">
        <v>2</v>
      </c>
      <c r="X254" s="35" t="s">
        <v>56</v>
      </c>
      <c r="Y254" s="26">
        <v>0</v>
      </c>
      <c r="Z254" s="10">
        <v>0</v>
      </c>
      <c r="AA254" s="26">
        <v>1</v>
      </c>
      <c r="AB254" s="26">
        <v>0</v>
      </c>
      <c r="AC254" s="26">
        <v>0</v>
      </c>
      <c r="AD254" s="26">
        <v>0</v>
      </c>
      <c r="AE254" s="26">
        <v>0</v>
      </c>
      <c r="AF254" s="26">
        <v>0</v>
      </c>
      <c r="AG254" s="26">
        <v>0</v>
      </c>
      <c r="AH254" s="26">
        <v>1</v>
      </c>
      <c r="AI254" s="26">
        <v>0</v>
      </c>
      <c r="AJ254" s="26">
        <v>0</v>
      </c>
      <c r="AK254" s="26">
        <v>0</v>
      </c>
      <c r="AL254" s="34"/>
    </row>
    <row r="255" spans="2:38" x14ac:dyDescent="0.3">
      <c r="B255" s="43" t="s">
        <v>103</v>
      </c>
      <c r="C255" s="6" t="s">
        <v>245</v>
      </c>
      <c r="D255" s="62">
        <f t="shared" si="21"/>
        <v>3</v>
      </c>
      <c r="E255" s="6" t="s">
        <v>56</v>
      </c>
      <c r="F255" s="9">
        <f>Y255+SUMIFS('บันทึกของเข้า-ออก'!$J:$J,'บันทึกของเข้า-ออก'!$B:$B,สรุป!$C255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5" s="9">
        <v>2</v>
      </c>
      <c r="H255" s="9">
        <f>AA255+SUMIFS('บันทึกของเข้า-ออก'!$J:$J,'บันทึกของเข้า-ออก'!$B:$B,สรุป!$C255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5" s="9">
        <f>AB255+SUMIFS('บันทึกของเข้า-ออก'!$J:$J,'บันทึกของเข้า-ออก'!$B:$B,สรุป!$C255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5" s="9">
        <f>AC255+SUMIFS('บันทึกของเข้า-ออก'!$J:$J,'บันทึกของเข้า-ออก'!$B:$B,สรุป!$C255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55" s="9">
        <f>AD255+SUMIFS('บันทึกของเข้า-ออก'!$J:$J,'บันทึกของเข้า-ออก'!$B:$B,สรุป!$C255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5" s="9">
        <f>AE255+SUMIFS('บันทึกของเข้า-ออก'!$J:$J,'บันทึกของเข้า-ออก'!$B:$B,สรุป!$C255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5" s="9">
        <f>AF255+SUMIFS('บันทึกของเข้า-ออก'!$J:$J,'บันทึกของเข้า-ออก'!$B:$B,สรุป!$C255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5" s="9">
        <f>AG255+SUMIFS('บันทึกของเข้า-ออก'!$J:$J,'บันทึกของเข้า-ออก'!$B:$B,สรุป!$C255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5" s="9">
        <f>AH255+SUMIFS('บันทึกของเข้า-ออก'!$J:$J,'บันทึกของเข้า-ออก'!$B:$B,สรุป!$C255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O$5,'บันทึกของเข้า-ออก'!$D:$D,"&gt;="&amp;สรุป!$F$2,'บันทึกของเข้า-ออก'!$D:$D,"&lt;="&amp;สรุป!$G$2)</f>
        <v>1</v>
      </c>
      <c r="P255" s="9">
        <f>AI255+SUMIFS('บันทึกของเข้า-ออก'!$J:$J,'บันทึกของเข้า-ออก'!$B:$B,สรุป!$C255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5" s="9">
        <f>AJ255+SUMIFS('บันทึกของเข้า-ออก'!$J:$J,'บันทึกของเข้า-ออก'!$B:$B,สรุป!$C255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5" s="9">
        <f>AK255+SUMIFS('บันทึกของเข้า-ออก'!$J:$J,'บันทึกของเข้า-ออก'!$B:$B,สรุป!$C255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255,'บันทึกของเข้า-ออก'!$F:$F,สรุป!R$5,'บันทึกของเข้า-ออก'!$D:$D,"&gt;="&amp;สรุป!$F$2,'บันทึกของเข้า-ออก'!$D:$D,"&lt;="&amp;สรุป!$G$2)</f>
        <v>-1</v>
      </c>
      <c r="S255" s="26"/>
      <c r="T255" s="33"/>
      <c r="U255" s="34"/>
      <c r="V255" s="25" t="str">
        <f t="shared" si="20"/>
        <v>เครื่องจี้ปูน 5.5 แรงม้า</v>
      </c>
      <c r="W255" s="79">
        <v>3</v>
      </c>
      <c r="X255" s="35" t="s">
        <v>56</v>
      </c>
      <c r="Y255" s="26">
        <v>0</v>
      </c>
      <c r="Z255" s="26">
        <v>2</v>
      </c>
      <c r="AA255" s="26">
        <v>0</v>
      </c>
      <c r="AB255" s="26">
        <v>0</v>
      </c>
      <c r="AC255" s="26">
        <v>0</v>
      </c>
      <c r="AD255" s="26">
        <v>0</v>
      </c>
      <c r="AE255" s="26">
        <v>0</v>
      </c>
      <c r="AF255" s="26">
        <v>0</v>
      </c>
      <c r="AG255" s="26">
        <v>0</v>
      </c>
      <c r="AH255" s="26">
        <v>1</v>
      </c>
      <c r="AI255" s="26">
        <v>0</v>
      </c>
      <c r="AJ255" s="26">
        <v>0</v>
      </c>
      <c r="AK255" s="26"/>
      <c r="AL255" s="34"/>
    </row>
    <row r="256" spans="2:38" x14ac:dyDescent="0.3">
      <c r="B256" s="43" t="s">
        <v>103</v>
      </c>
      <c r="C256" s="6" t="s">
        <v>242</v>
      </c>
      <c r="D256" s="62">
        <f t="shared" si="21"/>
        <v>6</v>
      </c>
      <c r="E256" s="6" t="s">
        <v>56</v>
      </c>
      <c r="F256" s="9">
        <f>Y256+SUMIFS('บันทึกของเข้า-ออก'!$J:$J,'บันทึกของเข้า-ออก'!$B:$B,สรุป!$C256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6" s="9">
        <v>2</v>
      </c>
      <c r="H256" s="9">
        <v>2</v>
      </c>
      <c r="I256" s="9">
        <f>AB256+SUMIFS('บันทึกของเข้า-ออก'!$J:$J,'บันทึกของเข้า-ออก'!$B:$B,สรุป!$C256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6" s="9">
        <v>1</v>
      </c>
      <c r="K256" s="9">
        <f>AD256+SUMIFS('บันทึกของเข้า-ออก'!$J:$J,'บันทึกของเข้า-ออก'!$B:$B,สรุป!$C256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6" s="9">
        <f>AE256+SUMIFS('บันทึกของเข้า-ออก'!$J:$J,'บันทึกของเข้า-ออก'!$B:$B,สรุป!$C256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6" s="9">
        <f>AF256+SUMIFS('บันทึกของเข้า-ออก'!$J:$J,'บันทึกของเข้า-ออก'!$B:$B,สรุป!$C256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6" s="9">
        <v>1</v>
      </c>
      <c r="O256" s="9"/>
      <c r="P256" s="9">
        <f>AI256+SUMIFS('บันทึกของเข้า-ออก'!$J:$J,'บันทึกของเข้า-ออก'!$B:$B,สรุป!$C256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6" s="9">
        <f>AJ256+SUMIFS('บันทึกของเข้า-ออก'!$J:$J,'บันทึกของเข้า-ออก'!$B:$B,สรุป!$C256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6" s="9">
        <f>AK256+SUMIFS('บันทึกของเข้า-ออก'!$J:$J,'บันทึกของเข้า-ออก'!$B:$B,สรุป!$C256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6" s="26"/>
      <c r="T256" s="33"/>
      <c r="U256" s="34"/>
      <c r="V256" s="25" t="str">
        <f t="shared" si="20"/>
        <v>สว่านไฟฟ้า ธรรมดา</v>
      </c>
      <c r="W256" s="44">
        <v>6</v>
      </c>
      <c r="X256" s="35" t="s">
        <v>56</v>
      </c>
      <c r="Y256" s="26">
        <v>0</v>
      </c>
      <c r="Z256" s="26">
        <v>2</v>
      </c>
      <c r="AA256" s="26">
        <v>2</v>
      </c>
      <c r="AB256" s="26">
        <v>0</v>
      </c>
      <c r="AC256" s="26">
        <v>1</v>
      </c>
      <c r="AD256" s="26">
        <v>0</v>
      </c>
      <c r="AE256" s="26">
        <v>0</v>
      </c>
      <c r="AF256" s="26">
        <v>0</v>
      </c>
      <c r="AG256" s="26">
        <v>1</v>
      </c>
      <c r="AH256" s="26">
        <v>0</v>
      </c>
      <c r="AI256" s="26">
        <v>0</v>
      </c>
      <c r="AJ256" s="26">
        <v>0</v>
      </c>
      <c r="AK256" s="26">
        <v>0</v>
      </c>
      <c r="AL256" s="34"/>
    </row>
    <row r="257" spans="2:38" x14ac:dyDescent="0.3">
      <c r="B257" s="43" t="s">
        <v>103</v>
      </c>
      <c r="C257" s="6" t="s">
        <v>110</v>
      </c>
      <c r="D257" s="44">
        <f t="shared" si="21"/>
        <v>7</v>
      </c>
      <c r="E257" s="6" t="s">
        <v>56</v>
      </c>
      <c r="F257" s="9" t="s">
        <v>376</v>
      </c>
      <c r="G257" s="9">
        <v>2</v>
      </c>
      <c r="H257" s="9">
        <v>1</v>
      </c>
      <c r="I257" s="9">
        <f>AB257+SUMIFS('บันทึกของเข้า-ออก'!$J:$J,'บันทึกของเข้า-ออก'!$B:$B,สรุป!$C257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7" s="9">
        <f>AC257+SUMIFS('บันทึกของเข้า-ออก'!$J:$J,'บันทึกของเข้า-ออก'!$B:$B,สรุป!$C257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257,'บันทึกของเข้า-ออก'!$F:$F,สรุป!J$5,'บันทึกของเข้า-ออก'!$D:$D,"&gt;="&amp;สรุป!$F$2,'บันทึกของเข้า-ออก'!$D:$D,"&lt;="&amp;สรุป!$G$2)</f>
        <v>1</v>
      </c>
      <c r="K257" s="9">
        <f>AD257+SUMIFS('บันทึกของเข้า-ออก'!$J:$J,'บันทึกของเข้า-ออก'!$B:$B,สรุป!$C257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7" s="9"/>
      <c r="M257" s="9">
        <v>1</v>
      </c>
      <c r="N257" s="9">
        <v>1</v>
      </c>
      <c r="O257" s="9"/>
      <c r="P257" s="9">
        <f>AI257+SUMIFS('บันทึกของเข้า-ออก'!$J:$J,'บันทึกของเข้า-ออก'!$B:$B,สรุป!$C257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7" s="9">
        <f>AJ257+SUMIFS('บันทึกของเข้า-ออก'!$J:$J,'บันทึกของเข้า-ออก'!$B:$B,สรุป!$C257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7" s="9">
        <v>1</v>
      </c>
      <c r="S257" s="26" t="s">
        <v>413</v>
      </c>
      <c r="T257" s="33"/>
      <c r="U257" s="34"/>
      <c r="V257" s="25" t="str">
        <f t="shared" si="20"/>
        <v>สว่านไฟฟ้า 3 ระบบ</v>
      </c>
      <c r="W257" s="44">
        <v>11</v>
      </c>
      <c r="X257" s="35" t="s">
        <v>56</v>
      </c>
      <c r="Y257" s="26" t="s">
        <v>113</v>
      </c>
      <c r="Z257" s="26">
        <v>0</v>
      </c>
      <c r="AA257" s="26">
        <v>0</v>
      </c>
      <c r="AB257" s="26">
        <v>0</v>
      </c>
      <c r="AC257" s="26">
        <v>0</v>
      </c>
      <c r="AD257" s="26">
        <v>0</v>
      </c>
      <c r="AE257" s="26">
        <v>0</v>
      </c>
      <c r="AF257" s="26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34"/>
    </row>
    <row r="258" spans="2:38" x14ac:dyDescent="0.3">
      <c r="B258" s="43" t="s">
        <v>229</v>
      </c>
      <c r="C258" s="6" t="s">
        <v>207</v>
      </c>
      <c r="D258" s="44">
        <f t="shared" si="21"/>
        <v>0</v>
      </c>
      <c r="E258" s="6" t="s">
        <v>209</v>
      </c>
      <c r="F258" s="9">
        <f>Y258+SUMIFS('บันทึกของเข้า-ออก'!$J:$J,'บันทึกของเข้า-ออก'!$B:$B,สรุป!$C258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8" s="9">
        <f>Z258+SUMIFS('บันทึกของเข้า-ออก'!$J:$J,'บันทึกของเข้า-ออก'!$B:$B,สรุป!$C258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58" s="9">
        <f>AA258+SUMIFS('บันทึกของเข้า-ออก'!$J:$J,'บันทึกของเข้า-ออก'!$B:$B,สรุป!$C258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8" s="9">
        <f>AB258+SUMIFS('บันทึกของเข้า-ออก'!$J:$J,'บันทึกของเข้า-ออก'!$B:$B,สรุป!$C258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8" s="9">
        <f>AC258+SUMIFS('บันทึกของเข้า-ออก'!$J:$J,'บันทึกของเข้า-ออก'!$B:$B,สรุป!$C258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58" s="9">
        <f>AD258+SUMIFS('บันทึกของเข้า-ออก'!$J:$J,'บันทึกของเข้า-ออก'!$B:$B,สรุป!$C258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8" s="9">
        <f>AE258+SUMIFS('บันทึกของเข้า-ออก'!$J:$J,'บันทึกของเข้า-ออก'!$B:$B,สรุป!$C258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8" s="9">
        <f>AF258+SUMIFS('บันทึกของเข้า-ออก'!$J:$J,'บันทึกของเข้า-ออก'!$B:$B,สรุป!$C258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8" s="9">
        <f>AG258+SUMIFS('บันทึกของเข้า-ออก'!$J:$J,'บันทึกของเข้า-ออก'!$B:$B,สรุป!$C258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8" s="9">
        <f>AH258+SUMIFS('บันทึกของเข้า-ออก'!$J:$J,'บันทึกของเข้า-ออก'!$B:$B,สรุป!$C258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58" s="9">
        <f>AI258+SUMIFS('บันทึกของเข้า-ออก'!$J:$J,'บันทึกของเข้า-ออก'!$B:$B,สรุป!$C258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8" s="9">
        <f>AJ258+SUMIFS('บันทึกของเข้า-ออก'!$J:$J,'บันทึกของเข้า-ออก'!$B:$B,สรุป!$C258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8" s="9">
        <f>AK258+SUMIFS('บันทึกของเข้า-ออก'!$J:$J,'บันทึกของเข้า-ออก'!$B:$B,สรุป!$C258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8" s="26"/>
      <c r="T258" s="33"/>
      <c r="U258" s="34"/>
      <c r="V258" s="25" t="str">
        <f t="shared" si="20"/>
        <v>รถมอเตอร์ไซด์ จจพ เชียงใหม่ 982</v>
      </c>
      <c r="W258" s="44">
        <v>1</v>
      </c>
      <c r="X258" s="35" t="s">
        <v>209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  <c r="AD258" s="26">
        <v>0</v>
      </c>
      <c r="AE258" s="26">
        <v>0</v>
      </c>
      <c r="AF258" s="26">
        <v>0</v>
      </c>
      <c r="AG258" s="26">
        <v>0</v>
      </c>
      <c r="AH258" s="26">
        <v>0</v>
      </c>
      <c r="AI258" s="26">
        <v>0</v>
      </c>
      <c r="AJ258" s="26">
        <v>0</v>
      </c>
      <c r="AK258" s="26">
        <v>0</v>
      </c>
      <c r="AL258" s="34"/>
    </row>
    <row r="259" spans="2:38" x14ac:dyDescent="0.3">
      <c r="B259" s="43" t="s">
        <v>229</v>
      </c>
      <c r="C259" s="6" t="s">
        <v>208</v>
      </c>
      <c r="D259" s="44">
        <f t="shared" si="21"/>
        <v>0</v>
      </c>
      <c r="E259" s="6" t="s">
        <v>209</v>
      </c>
      <c r="F259" s="9">
        <f>Y259+SUMIFS('บันทึกของเข้า-ออก'!$J:$J,'บันทึกของเข้า-ออก'!$B:$B,สรุป!$C259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59" s="9">
        <f>Z259+SUMIFS('บันทึกของเข้า-ออก'!$J:$J,'บันทึกของเข้า-ออก'!$B:$B,สรุป!$C259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59" s="9">
        <f>AA259+SUMIFS('บันทึกของเข้า-ออก'!$J:$J,'บันทึกของเข้า-ออก'!$B:$B,สรุป!$C259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59" s="9">
        <f>AB259+SUMIFS('บันทึกของเข้า-ออก'!$J:$J,'บันทึกของเข้า-ออก'!$B:$B,สรุป!$C259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59" s="9">
        <f>AC259+SUMIFS('บันทึกของเข้า-ออก'!$J:$J,'บันทึกของเข้า-ออก'!$B:$B,สรุป!$C259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59" s="9">
        <f>AD259+SUMIFS('บันทึกของเข้า-ออก'!$J:$J,'บันทึกของเข้า-ออก'!$B:$B,สรุป!$C259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59" s="9">
        <f>AE259+SUMIFS('บันทึกของเข้า-ออก'!$J:$J,'บันทึกของเข้า-ออก'!$B:$B,สรุป!$C259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59" s="9">
        <f>AF259+SUMIFS('บันทึกของเข้า-ออก'!$J:$J,'บันทึกของเข้า-ออก'!$B:$B,สรุป!$C259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59" s="9">
        <f>AG259+SUMIFS('บันทึกของเข้า-ออก'!$J:$J,'บันทึกของเข้า-ออก'!$B:$B,สรุป!$C259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59" s="9">
        <f>AH259+SUMIFS('บันทึกของเข้า-ออก'!$J:$J,'บันทึกของเข้า-ออก'!$B:$B,สรุป!$C259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59" s="9">
        <f>AI259+SUMIFS('บันทึกของเข้า-ออก'!$J:$J,'บันทึกของเข้า-ออก'!$B:$B,สรุป!$C259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59" s="9">
        <f>AJ259+SUMIFS('บันทึกของเข้า-ออก'!$J:$J,'บันทึกของเข้า-ออก'!$B:$B,สรุป!$C259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59" s="9">
        <f>AK259+SUMIFS('บันทึกของเข้า-ออก'!$J:$J,'บันทึกของเข้า-ออก'!$B:$B,สรุป!$C259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259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59" s="26"/>
      <c r="T259" s="33"/>
      <c r="U259" s="34"/>
      <c r="V259" s="25" t="str">
        <f t="shared" si="20"/>
        <v>รถกระบะ ถธ3123 กทม</v>
      </c>
      <c r="W259" s="44">
        <v>2</v>
      </c>
      <c r="X259" s="35" t="s">
        <v>209</v>
      </c>
      <c r="Y259" s="26">
        <v>0</v>
      </c>
      <c r="Z259" s="26">
        <v>0</v>
      </c>
      <c r="AA259" s="26">
        <v>0</v>
      </c>
      <c r="AB259" s="26">
        <v>0</v>
      </c>
      <c r="AC259" s="26">
        <v>0</v>
      </c>
      <c r="AD259" s="26">
        <v>0</v>
      </c>
      <c r="AE259" s="26">
        <v>0</v>
      </c>
      <c r="AF259" s="26">
        <v>0</v>
      </c>
      <c r="AG259" s="26">
        <v>0</v>
      </c>
      <c r="AH259" s="26">
        <v>0</v>
      </c>
      <c r="AI259" s="26">
        <v>0</v>
      </c>
      <c r="AJ259" s="26">
        <v>0</v>
      </c>
      <c r="AK259" s="26">
        <v>0</v>
      </c>
      <c r="AL259" s="34"/>
    </row>
    <row r="260" spans="2:38" x14ac:dyDescent="0.3">
      <c r="B260" s="43" t="s">
        <v>411</v>
      </c>
      <c r="C260" s="6" t="s">
        <v>412</v>
      </c>
      <c r="D260" s="44">
        <f t="shared" si="21"/>
        <v>1</v>
      </c>
      <c r="E260" s="6" t="s">
        <v>61</v>
      </c>
      <c r="F260" s="9">
        <f>Y260+SUMIFS('บันทึกของเข้า-ออก'!$J:$J,'บันทึกของเข้า-ออก'!$B:$B,สรุป!$C260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0" s="9">
        <f>Z260+SUMIFS('บันทึกของเข้า-ออก'!$J:$J,'บันทึกของเข้า-ออก'!$B:$B,สรุป!$C260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0" s="9">
        <f>AA260+SUMIFS('บันทึกของเข้า-ออก'!$J:$J,'บันทึกของเข้า-ออก'!$B:$B,สรุป!$C260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0" s="9">
        <f>AB260+SUMIFS('บันทึกของเข้า-ออก'!$J:$J,'บันทึกของเข้า-ออก'!$B:$B,สรุป!$C260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0" s="9">
        <f>AC260+SUMIFS('บันทึกของเข้า-ออก'!$J:$J,'บันทึกของเข้า-ออก'!$B:$B,สรุป!$C260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0" s="9">
        <f>AD260+SUMIFS('บันทึกของเข้า-ออก'!$J:$J,'บันทึกของเข้า-ออก'!$B:$B,สรุป!$C260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0" s="9">
        <f>AE260+SUMIFS('บันทึกของเข้า-ออก'!$J:$J,'บันทึกของเข้า-ออก'!$B:$B,สรุป!$C260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0" s="9">
        <f>AF260+SUMIFS('บันทึกของเข้า-ออก'!$J:$J,'บันทึกของเข้า-ออก'!$B:$B,สรุป!$C260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0" s="9">
        <f>AG260+SUMIFS('บันทึกของเข้า-ออก'!$J:$J,'บันทึกของเข้า-ออก'!$B:$B,สรุป!$C260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0" s="9">
        <v>1</v>
      </c>
      <c r="P260" s="9">
        <f>AI260+SUMIFS('บันทึกของเข้า-ออก'!$J:$J,'บันทึกของเข้า-ออก'!$B:$B,สรุป!$C260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0" s="9">
        <f>AJ260+SUMIFS('บันทึกของเข้า-ออก'!$J:$J,'บันทึกของเข้า-ออก'!$B:$B,สรุป!$C260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0" s="9">
        <f>AK260+SUMIFS('บันทึกของเข้า-ออก'!$J:$J,'บันทึกของเข้า-ออก'!$B:$B,สรุป!$C260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0" s="26"/>
      <c r="T260" s="33"/>
      <c r="U260" s="34"/>
      <c r="V260" s="25" t="str">
        <f t="shared" si="20"/>
        <v>ชุดแอร์ คอยเย็น+คอยร้อน</v>
      </c>
      <c r="W260" s="44">
        <v>2</v>
      </c>
      <c r="X260" s="35" t="s">
        <v>61</v>
      </c>
      <c r="Y260" s="26">
        <v>0</v>
      </c>
      <c r="Z260" s="26">
        <v>0</v>
      </c>
      <c r="AA260" s="26">
        <v>0</v>
      </c>
      <c r="AB260" s="26">
        <v>0</v>
      </c>
      <c r="AC260" s="26">
        <v>0</v>
      </c>
      <c r="AD260" s="26">
        <v>0</v>
      </c>
      <c r="AE260" s="26">
        <v>0</v>
      </c>
      <c r="AF260" s="26">
        <v>0</v>
      </c>
      <c r="AG260" s="26">
        <v>0</v>
      </c>
      <c r="AH260" s="26">
        <v>0</v>
      </c>
      <c r="AI260" s="26">
        <v>0</v>
      </c>
      <c r="AJ260" s="26">
        <v>0</v>
      </c>
      <c r="AK260" s="26">
        <v>0</v>
      </c>
      <c r="AL260" s="34"/>
    </row>
    <row r="261" spans="2:38" x14ac:dyDescent="0.3">
      <c r="B261" s="43" t="s">
        <v>229</v>
      </c>
      <c r="C261" s="6" t="s">
        <v>248</v>
      </c>
      <c r="D261" s="44">
        <f t="shared" si="21"/>
        <v>0</v>
      </c>
      <c r="E261" s="6" t="s">
        <v>58</v>
      </c>
      <c r="F261" s="9">
        <f>Y261+SUMIFS('บันทึกของเข้า-ออก'!$J:$J,'บันทึกของเข้า-ออก'!$B:$B,สรุป!$C261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1" s="9">
        <f>Z261+SUMIFS('บันทึกของเข้า-ออก'!$J:$J,'บันทึกของเข้า-ออก'!$B:$B,สรุป!$C261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1" s="9">
        <f>AA261+SUMIFS('บันทึกของเข้า-ออก'!$J:$J,'บันทึกของเข้า-ออก'!$B:$B,สรุป!$C261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1" s="9">
        <f>AB261+SUMIFS('บันทึกของเข้า-ออก'!$J:$J,'บันทึกของเข้า-ออก'!$B:$B,สรุป!$C261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1" s="9">
        <f>AC261+SUMIFS('บันทึกของเข้า-ออก'!$J:$J,'บันทึกของเข้า-ออก'!$B:$B,สรุป!$C261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1" s="9">
        <f>AD261+SUMIFS('บันทึกของเข้า-ออก'!$J:$J,'บันทึกของเข้า-ออก'!$B:$B,สรุป!$C261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1" s="9">
        <f>AE261+SUMIFS('บันทึกของเข้า-ออก'!$J:$J,'บันทึกของเข้า-ออก'!$B:$B,สรุป!$C261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1" s="9">
        <f>AF261+SUMIFS('บันทึกของเข้า-ออก'!$J:$J,'บันทึกของเข้า-ออก'!$B:$B,สรุป!$C261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1" s="9">
        <f>AG261+SUMIFS('บันทึกของเข้า-ออก'!$J:$J,'บันทึกของเข้า-ออก'!$B:$B,สรุป!$C261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1" s="9">
        <f>AH261+SUMIFS('บันทึกของเข้า-ออก'!$J:$J,'บันทึกของเข้า-ออก'!$B:$B,สรุป!$C261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1" s="9">
        <f>AI261+SUMIFS('บันทึกของเข้า-ออก'!$J:$J,'บันทึกของเข้า-ออก'!$B:$B,สรุป!$C261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1" s="9">
        <f>AJ261+SUMIFS('บันทึกของเข้า-ออก'!$J:$J,'บันทึกของเข้า-ออก'!$B:$B,สรุป!$C261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1" s="9">
        <f>AK261+SUMIFS('บันทึกของเข้า-ออก'!$J:$J,'บันทึกของเข้า-ออก'!$B:$B,สรุป!$C261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1" s="26"/>
      <c r="T261" s="33"/>
      <c r="U261" s="34"/>
      <c r="V261" s="25" t="str">
        <f t="shared" si="20"/>
        <v>เหล็กคอกรถกระบะ</v>
      </c>
      <c r="W261" s="44">
        <v>1</v>
      </c>
      <c r="X261" s="35" t="s">
        <v>58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6">
        <v>0</v>
      </c>
      <c r="AE261" s="26">
        <v>0</v>
      </c>
      <c r="AF261" s="26">
        <v>0</v>
      </c>
      <c r="AG261" s="26">
        <v>0</v>
      </c>
      <c r="AH261" s="26">
        <v>0</v>
      </c>
      <c r="AI261" s="26">
        <v>0</v>
      </c>
      <c r="AJ261" s="26">
        <v>0</v>
      </c>
      <c r="AK261" s="26">
        <v>0</v>
      </c>
      <c r="AL261" s="34"/>
    </row>
    <row r="262" spans="2:38" x14ac:dyDescent="0.3">
      <c r="B262" s="43" t="s">
        <v>229</v>
      </c>
      <c r="C262" s="6" t="s">
        <v>249</v>
      </c>
      <c r="D262" s="44">
        <f t="shared" si="21"/>
        <v>1</v>
      </c>
      <c r="E262" s="6" t="s">
        <v>58</v>
      </c>
      <c r="F262" s="9">
        <f>Y262+SUMIFS('บันทึกของเข้า-ออก'!$J:$J,'บันทึกของเข้า-ออก'!$B:$B,สรุป!$C262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2" s="9">
        <f>Z262+SUMIFS('บันทึกของเข้า-ออก'!$J:$J,'บันทึกของเข้า-ออก'!$B:$B,สรุป!$C262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2" s="9">
        <f>AA262+SUMIFS('บันทึกของเข้า-ออก'!$J:$J,'บันทึกของเข้า-ออก'!$B:$B,สรุป!$C262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2" s="9">
        <f>AB262+SUMIFS('บันทึกของเข้า-ออก'!$J:$J,'บันทึกของเข้า-ออก'!$B:$B,สรุป!$C262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2" s="9">
        <v>1</v>
      </c>
      <c r="K262" s="9">
        <f>AD262+SUMIFS('บันทึกของเข้า-ออก'!$J:$J,'บันทึกของเข้า-ออก'!$B:$B,สรุป!$C262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2" s="9">
        <f>AE262+SUMIFS('บันทึกของเข้า-ออก'!$J:$J,'บันทึกของเข้า-ออก'!$B:$B,สรุป!$C262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2" s="9">
        <f>AF262+SUMIFS('บันทึกของเข้า-ออก'!$J:$J,'บันทึกของเข้า-ออก'!$B:$B,สรุป!$C262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2" s="9">
        <f>AG262+SUMIFS('บันทึกของเข้า-ออก'!$J:$J,'บันทึกของเข้า-ออก'!$B:$B,สรุป!$C262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2" s="9">
        <f>AH262+SUMIFS('บันทึกของเข้า-ออก'!$J:$J,'บันทึกของเข้า-ออก'!$B:$B,สรุป!$C262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2" s="9">
        <f>AI262+SUMIFS('บันทึกของเข้า-ออก'!$J:$J,'บันทึกของเข้า-ออก'!$B:$B,สรุป!$C262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2" s="9">
        <f>AJ262+SUMIFS('บันทึกของเข้า-ออก'!$J:$J,'บันทึกของเข้า-ออก'!$B:$B,สรุป!$C262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2" s="9">
        <f>AK262+SUMIFS('บันทึกของเข้า-ออก'!$J:$J,'บันทึกของเข้า-ออก'!$B:$B,สรุป!$C262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2" s="26"/>
      <c r="T262" s="33"/>
      <c r="U262" s="34"/>
      <c r="V262" s="25" t="str">
        <f t="shared" si="20"/>
        <v>หลังคารถกระบะแบบสวมคอก</v>
      </c>
      <c r="W262" s="44">
        <v>1</v>
      </c>
      <c r="X262" s="35" t="s">
        <v>58</v>
      </c>
      <c r="Y262" s="26">
        <v>0</v>
      </c>
      <c r="Z262" s="26">
        <v>0</v>
      </c>
      <c r="AA262" s="26">
        <v>0</v>
      </c>
      <c r="AB262" s="26">
        <v>0</v>
      </c>
      <c r="AC262" s="26">
        <v>0</v>
      </c>
      <c r="AD262" s="26">
        <v>0</v>
      </c>
      <c r="AE262" s="26">
        <v>0</v>
      </c>
      <c r="AF262" s="26">
        <v>0</v>
      </c>
      <c r="AG262" s="26">
        <v>0</v>
      </c>
      <c r="AH262" s="26">
        <v>0</v>
      </c>
      <c r="AI262" s="26">
        <v>0</v>
      </c>
      <c r="AJ262" s="26">
        <v>0</v>
      </c>
      <c r="AK262" s="26">
        <v>0</v>
      </c>
      <c r="AL262" s="34"/>
    </row>
    <row r="263" spans="2:38" x14ac:dyDescent="0.3">
      <c r="B263" s="43" t="s">
        <v>261</v>
      </c>
      <c r="C263" s="6" t="s">
        <v>327</v>
      </c>
      <c r="D263" s="44">
        <f t="shared" si="21"/>
        <v>3</v>
      </c>
      <c r="E263" s="6" t="s">
        <v>79</v>
      </c>
      <c r="F263" s="9">
        <f>Y263+SUMIFS('บันทึกของเข้า-ออก'!$J:$J,'บันทึกของเข้า-ออก'!$B:$B,สรุป!$C263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3" s="9">
        <f>Z263+SUMIFS('บันทึกของเข้า-ออก'!$J:$J,'บันทึกของเข้า-ออก'!$B:$B,สรุป!$C263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3" s="9"/>
      <c r="I263" s="9">
        <f>AB263+SUMIFS('บันทึกของเข้า-ออก'!$J:$J,'บันทึกของเข้า-ออก'!$B:$B,สรุป!$C263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3" s="9">
        <f>AC263+SUMIFS('บันทึกของเข้า-ออก'!$J:$J,'บันทึกของเข้า-ออก'!$B:$B,สรุป!$C263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3" s="9">
        <f>AD263+SUMIFS('บันทึกของเข้า-ออก'!$J:$J,'บันทึกของเข้า-ออก'!$B:$B,สรุป!$C263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3" s="9">
        <f>AE263+SUMIFS('บันทึกของเข้า-ออก'!$J:$J,'บันทึกของเข้า-ออก'!$B:$B,สรุป!$C263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3" s="9">
        <f>AF263+SUMIFS('บันทึกของเข้า-ออก'!$J:$J,'บันทึกของเข้า-ออก'!$B:$B,สรุป!$C263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3" s="9">
        <f>AG263+SUMIFS('บันทึกของเข้า-ออก'!$J:$J,'บันทึกของเข้า-ออก'!$B:$B,สรุป!$C263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3" s="9">
        <f>AH263+SUMIFS('บันทึกของเข้า-ออก'!$J:$J,'บันทึกของเข้า-ออก'!$B:$B,สรุป!$C263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O$5,'บันทึกของเข้า-ออก'!$D:$D,"&gt;="&amp;สรุป!$F$2,'บันทึกของเข้า-ออก'!$D:$D,"&lt;="&amp;สรุป!$G$2)</f>
        <v>3</v>
      </c>
      <c r="P263" s="9">
        <f>AI263+SUMIFS('บันทึกของเข้า-ออก'!$J:$J,'บันทึกของเข้า-ออก'!$B:$B,สรุป!$C263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3" s="9">
        <f>AJ263+SUMIFS('บันทึกของเข้า-ออก'!$J:$J,'บันทึกของเข้า-ออก'!$B:$B,สรุป!$C263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3" s="9">
        <f>AK263+SUMIFS('บันทึกของเข้า-ออก'!$J:$J,'บันทึกของเข้า-ออก'!$B:$B,สรุป!$C263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3" s="26"/>
      <c r="T263" s="33"/>
      <c r="U263" s="34"/>
      <c r="V263" s="6" t="s">
        <v>327</v>
      </c>
      <c r="W263" s="44"/>
      <c r="X263" s="35" t="s">
        <v>58</v>
      </c>
      <c r="Y263" s="26">
        <v>0</v>
      </c>
      <c r="Z263" s="26">
        <v>0</v>
      </c>
      <c r="AA263" s="26">
        <v>0</v>
      </c>
      <c r="AB263" s="26">
        <v>0</v>
      </c>
      <c r="AC263" s="26">
        <v>0</v>
      </c>
      <c r="AD263" s="26">
        <v>0</v>
      </c>
      <c r="AE263" s="26">
        <v>0</v>
      </c>
      <c r="AF263" s="26">
        <v>0</v>
      </c>
      <c r="AG263" s="26">
        <v>0</v>
      </c>
      <c r="AH263" s="26">
        <v>0</v>
      </c>
      <c r="AI263" s="26">
        <v>0</v>
      </c>
      <c r="AJ263" s="26">
        <v>0</v>
      </c>
      <c r="AK263" s="26">
        <v>0</v>
      </c>
      <c r="AL263" s="34"/>
    </row>
    <row r="264" spans="2:38" x14ac:dyDescent="0.3">
      <c r="B264" s="43" t="s">
        <v>261</v>
      </c>
      <c r="C264" s="6" t="s">
        <v>305</v>
      </c>
      <c r="D264" s="44">
        <f t="shared" si="21"/>
        <v>2</v>
      </c>
      <c r="E264" s="6" t="s">
        <v>79</v>
      </c>
      <c r="F264" s="9">
        <f>Y264+SUMIFS('บันทึกของเข้า-ออก'!$J:$J,'บันทึกของเข้า-ออก'!$B:$B,สรุป!$C264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4" s="9">
        <v>2</v>
      </c>
      <c r="H264" s="9">
        <f>AA264+SUMIFS('บันทึกของเข้า-ออก'!$J:$J,'บันทึกของเข้า-ออก'!$B:$B,สรุป!$C264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4" s="9">
        <f>AB264+SUMIFS('บันทึกของเข้า-ออก'!$J:$J,'บันทึกของเข้า-ออก'!$B:$B,สรุป!$C264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4" s="9">
        <f>AC264+SUMIFS('บันทึกของเข้า-ออก'!$J:$J,'บันทึกของเข้า-ออก'!$B:$B,สรุป!$C264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4" s="9">
        <f>AD264+SUMIFS('บันทึกของเข้า-ออก'!$J:$J,'บันทึกของเข้า-ออก'!$B:$B,สรุป!$C264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4" s="9">
        <f>AE264+SUMIFS('บันทึกของเข้า-ออก'!$J:$J,'บันทึกของเข้า-ออก'!$B:$B,สรุป!$C264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4" s="9">
        <f>AF264+SUMIFS('บันทึกของเข้า-ออก'!$J:$J,'บันทึกของเข้า-ออก'!$B:$B,สรุป!$C264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4" s="9">
        <f>AG264+SUMIFS('บันทึกของเข้า-ออก'!$J:$J,'บันทึกของเข้า-ออก'!$B:$B,สรุป!$C264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4" s="9">
        <f>AH264+SUMIFS('บันทึกของเข้า-ออก'!$J:$J,'บันทึกของเข้า-ออก'!$B:$B,สรุป!$C264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4" s="9">
        <f>AI264+SUMIFS('บันทึกของเข้า-ออก'!$J:$J,'บันทึกของเข้า-ออก'!$B:$B,สรุป!$C264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4" s="9">
        <f>AJ264+SUMIFS('บันทึกของเข้า-ออก'!$J:$J,'บันทึกของเข้า-ออก'!$B:$B,สรุป!$C264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4" s="9">
        <f>AK264+SUMIFS('บันทึกของเข้า-ออก'!$J:$J,'บันทึกของเข้า-ออก'!$B:$B,สรุป!$C264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4" s="26"/>
      <c r="T264" s="33"/>
      <c r="U264" s="34"/>
      <c r="V264" s="25" t="str">
        <f>C264</f>
        <v>สีกันสนิม 18</v>
      </c>
      <c r="W264" s="44">
        <v>6</v>
      </c>
      <c r="X264" s="35" t="s">
        <v>79</v>
      </c>
      <c r="Y264" s="26">
        <v>0</v>
      </c>
      <c r="Z264" s="26">
        <v>0</v>
      </c>
      <c r="AA264" s="26">
        <v>0</v>
      </c>
      <c r="AB264" s="26">
        <v>0</v>
      </c>
      <c r="AC264" s="26">
        <v>0</v>
      </c>
      <c r="AD264" s="26">
        <v>0</v>
      </c>
      <c r="AE264" s="26">
        <v>0</v>
      </c>
      <c r="AF264" s="26">
        <v>0</v>
      </c>
      <c r="AG264" s="26">
        <v>0</v>
      </c>
      <c r="AH264" s="26">
        <v>0</v>
      </c>
      <c r="AI264" s="26">
        <v>0</v>
      </c>
      <c r="AJ264" s="26">
        <v>0</v>
      </c>
      <c r="AK264" s="26">
        <v>0</v>
      </c>
      <c r="AL264" s="34"/>
    </row>
    <row r="265" spans="2:38" x14ac:dyDescent="0.3">
      <c r="B265" s="43" t="s">
        <v>261</v>
      </c>
      <c r="C265" s="6" t="s">
        <v>416</v>
      </c>
      <c r="D265" s="44">
        <f t="shared" si="21"/>
        <v>1</v>
      </c>
      <c r="E265" s="6" t="s">
        <v>79</v>
      </c>
      <c r="F265" s="9">
        <f>Y265+SUMIFS('บันทึกของเข้า-ออก'!$J:$J,'บันทึกของเข้า-ออก'!$B:$B,สรุป!$C265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5" s="9">
        <v>1</v>
      </c>
      <c r="H265" s="9">
        <f>AA265+SUMIFS('บันทึกของเข้า-ออก'!$J:$J,'บันทึกของเข้า-ออก'!$B:$B,สรุป!$C265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5" s="9">
        <f>AB265+SUMIFS('บันทึกของเข้า-ออก'!$J:$J,'บันทึกของเข้า-ออก'!$B:$B,สรุป!$C265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5" s="9">
        <f>AC265+SUMIFS('บันทึกของเข้า-ออก'!$J:$J,'บันทึกของเข้า-ออก'!$B:$B,สรุป!$C265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5" s="9">
        <f>AD265+SUMIFS('บันทึกของเข้า-ออก'!$J:$J,'บันทึกของเข้า-ออก'!$B:$B,สรุป!$C265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5" s="9">
        <f>AE265+SUMIFS('บันทึกของเข้า-ออก'!$J:$J,'บันทึกของเข้า-ออก'!$B:$B,สรุป!$C265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5" s="9">
        <f>AF265+SUMIFS('บันทึกของเข้า-ออก'!$J:$J,'บันทึกของเข้า-ออก'!$B:$B,สรุป!$C265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5" s="9">
        <f>AG265+SUMIFS('บันทึกของเข้า-ออก'!$J:$J,'บันทึกของเข้า-ออก'!$B:$B,สรุป!$C265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5" s="9">
        <f>AH265+SUMIFS('บันทึกของเข้า-ออก'!$J:$J,'บันทึกของเข้า-ออก'!$B:$B,สรุป!$C265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5" s="9">
        <f>AI265+SUMIFS('บันทึกของเข้า-ออก'!$J:$J,'บันทึกของเข้า-ออก'!$B:$B,สรุป!$C265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5" s="9">
        <f>AJ265+SUMIFS('บันทึกของเข้า-ออก'!$J:$J,'บันทึกของเข้า-ออก'!$B:$B,สรุป!$C265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5" s="9">
        <f>AK265+SUMIFS('บันทึกของเข้า-ออก'!$J:$J,'บันทึกของเข้า-ออก'!$B:$B,สรุป!$C265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5" s="9"/>
      <c r="T265" s="33"/>
      <c r="U265" s="34"/>
      <c r="V265" s="25" t="str">
        <f>C265</f>
        <v>สีน้ำมัน โชกูกุ 18 ลิตร</v>
      </c>
      <c r="W265" s="44">
        <v>4</v>
      </c>
      <c r="X265" s="35" t="s">
        <v>79</v>
      </c>
      <c r="Y265" s="26">
        <v>0</v>
      </c>
      <c r="Z265" s="26">
        <v>0</v>
      </c>
      <c r="AA265" s="26">
        <v>0</v>
      </c>
      <c r="AB265" s="26">
        <v>0</v>
      </c>
      <c r="AC265" s="26">
        <v>0</v>
      </c>
      <c r="AD265" s="26">
        <v>0</v>
      </c>
      <c r="AE265" s="26">
        <v>0</v>
      </c>
      <c r="AF265" s="26">
        <v>0</v>
      </c>
      <c r="AG265" s="26">
        <v>0</v>
      </c>
      <c r="AH265" s="26">
        <v>0</v>
      </c>
      <c r="AI265" s="26">
        <v>0</v>
      </c>
      <c r="AJ265" s="26">
        <v>0</v>
      </c>
      <c r="AK265" s="26">
        <v>0</v>
      </c>
      <c r="AL265" s="34"/>
    </row>
    <row r="266" spans="2:38" x14ac:dyDescent="0.3">
      <c r="B266" s="43" t="s">
        <v>261</v>
      </c>
      <c r="C266" s="6" t="s">
        <v>415</v>
      </c>
      <c r="D266" s="44">
        <f t="shared" si="21"/>
        <v>0</v>
      </c>
      <c r="E266" s="6" t="s">
        <v>79</v>
      </c>
      <c r="F266" s="9">
        <f>Y266+SUMIFS('บันทึกของเข้า-ออก'!$J:$J,'บันทึกของเข้า-ออก'!$B:$B,สรุป!$C266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6" s="9"/>
      <c r="H266" s="9"/>
      <c r="I266" s="9">
        <f>AB266+SUMIFS('บันทึกของเข้า-ออก'!$J:$J,'บันทึกของเข้า-ออก'!$B:$B,สรุป!$C266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6" s="9"/>
      <c r="K266" s="9">
        <f>AD266+SUMIFS('บันทึกของเข้า-ออก'!$J:$J,'บันทึกของเข้า-ออก'!$B:$B,สรุป!$C266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6" s="9">
        <f>AE266+SUMIFS('บันทึกของเข้า-ออก'!$J:$J,'บันทึกของเข้า-ออก'!$B:$B,สรุป!$C266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6" s="9">
        <f>AF266+SUMIFS('บันทึกของเข้า-ออก'!$J:$J,'บันทึกของเข้า-ออก'!$B:$B,สรุป!$C266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6" s="9">
        <f>AG266+SUMIFS('บันทึกของเข้า-ออก'!$J:$J,'บันทึกของเข้า-ออก'!$B:$B,สรุป!$C266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6" s="9">
        <f>AH266+SUMIFS('บันทึกของเข้า-ออก'!$J:$J,'บันทึกของเข้า-ออก'!$B:$B,สรุป!$C266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6" s="9">
        <f>AI266+SUMIFS('บันทึกของเข้า-ออก'!$J:$J,'บันทึกของเข้า-ออก'!$B:$B,สรุป!$C266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6" s="9">
        <f>AJ266+SUMIFS('บันทึกของเข้า-ออก'!$J:$J,'บันทึกของเข้า-ออก'!$B:$B,สรุป!$C266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6" s="9">
        <f>AK266+SUMIFS('บันทึกของเข้า-ออก'!$J:$J,'บันทึกของเข้า-ออก'!$B:$B,สรุป!$C266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6" s="26"/>
      <c r="T266" s="33"/>
      <c r="U266" s="34"/>
      <c r="V266" s="6" t="s">
        <v>304</v>
      </c>
      <c r="W266" s="44">
        <v>11</v>
      </c>
      <c r="X266" s="35" t="s">
        <v>79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  <c r="AD266" s="26">
        <v>0</v>
      </c>
      <c r="AE266" s="26">
        <v>0</v>
      </c>
      <c r="AF266" s="26">
        <v>0</v>
      </c>
      <c r="AG266" s="26">
        <v>0</v>
      </c>
      <c r="AH266" s="26">
        <v>0</v>
      </c>
      <c r="AI266" s="26">
        <v>0</v>
      </c>
      <c r="AJ266" s="26">
        <v>0</v>
      </c>
      <c r="AK266" s="26">
        <v>0</v>
      </c>
      <c r="AL266" s="34"/>
    </row>
    <row r="267" spans="2:38" x14ac:dyDescent="0.3">
      <c r="B267" s="43" t="s">
        <v>261</v>
      </c>
      <c r="C267" s="6" t="s">
        <v>268</v>
      </c>
      <c r="D267" s="44">
        <f t="shared" si="21"/>
        <v>3</v>
      </c>
      <c r="E267" s="6" t="s">
        <v>58</v>
      </c>
      <c r="F267" s="9">
        <f>Y267+SUMIFS('บันทึกของเข้า-ออก'!$J:$J,'บันทึกของเข้า-ออก'!$B:$B,สรุป!$C267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7" s="9">
        <v>1</v>
      </c>
      <c r="H267" s="9">
        <v>1</v>
      </c>
      <c r="I267" s="9">
        <f>AB267+SUMIFS('บันทึกของเข้า-ออก'!$J:$J,'บันทึกของเข้า-ออก'!$B:$B,สรุป!$C267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7" s="9">
        <v>1</v>
      </c>
      <c r="K267" s="9">
        <f>AD267+SUMIFS('บันทึกของเข้า-ออก'!$J:$J,'บันทึกของเข้า-ออก'!$B:$B,สรุป!$C267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7" s="9">
        <f>AE267+SUMIFS('บันทึกของเข้า-ออก'!$J:$J,'บันทึกของเข้า-ออก'!$B:$B,สรุป!$C267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7" s="9">
        <f>AF267+SUMIFS('บันทึกของเข้า-ออก'!$J:$J,'บันทึกของเข้า-ออก'!$B:$B,สรุป!$C267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7" s="9">
        <f>AG267+SUMIFS('บันทึกของเข้า-ออก'!$J:$J,'บันทึกของเข้า-ออก'!$B:$B,สรุป!$C267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7" s="9">
        <f>AH267+SUMIFS('บันทึกของเข้า-ออก'!$J:$J,'บันทึกของเข้า-ออก'!$B:$B,สรุป!$C267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7" s="9">
        <f>AI267+SUMIFS('บันทึกของเข้า-ออก'!$J:$J,'บันทึกของเข้า-ออก'!$B:$B,สรุป!$C267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7" s="9">
        <f>AJ267+SUMIFS('บันทึกของเข้า-ออก'!$J:$J,'บันทึกของเข้า-ออก'!$B:$B,สรุป!$C267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7" s="9">
        <f>AK267+SUMIFS('บันทึกของเข้า-ออก'!$J:$J,'บันทึกของเข้า-ออก'!$B:$B,สรุป!$C267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7" s="26"/>
      <c r="T267" s="33"/>
      <c r="U267" s="34"/>
      <c r="V267" s="25" t="str">
        <f t="shared" ref="V267:V277" si="22">C267</f>
        <v>ปืนยิง pu</v>
      </c>
      <c r="W267" s="44">
        <v>2</v>
      </c>
      <c r="X267" s="35" t="s">
        <v>58</v>
      </c>
      <c r="Y267" s="26">
        <v>0</v>
      </c>
      <c r="Z267" s="26">
        <v>0</v>
      </c>
      <c r="AA267" s="26">
        <v>0</v>
      </c>
      <c r="AB267" s="26">
        <v>0</v>
      </c>
      <c r="AC267" s="26">
        <v>0</v>
      </c>
      <c r="AD267" s="26">
        <v>0</v>
      </c>
      <c r="AE267" s="26">
        <v>0</v>
      </c>
      <c r="AF267" s="26">
        <v>0</v>
      </c>
      <c r="AG267" s="26">
        <v>0</v>
      </c>
      <c r="AH267" s="26">
        <v>0</v>
      </c>
      <c r="AI267" s="26">
        <v>0</v>
      </c>
      <c r="AJ267" s="26">
        <v>0</v>
      </c>
      <c r="AK267" s="26">
        <v>0</v>
      </c>
      <c r="AL267" s="34"/>
    </row>
    <row r="268" spans="2:38" x14ac:dyDescent="0.3">
      <c r="B268" s="43" t="s">
        <v>275</v>
      </c>
      <c r="C268" s="6" t="s">
        <v>273</v>
      </c>
      <c r="D268" s="44">
        <f t="shared" si="21"/>
        <v>0</v>
      </c>
      <c r="E268" s="6" t="s">
        <v>58</v>
      </c>
      <c r="F268" s="9">
        <f>Y268+SUMIFS('บันทึกของเข้า-ออก'!$J:$J,'บันทึกของเข้า-ออก'!$B:$B,สรุป!$C268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8" s="9">
        <f>Z268+SUMIFS('บันทึกของเข้า-ออก'!$J:$J,'บันทึกของเข้า-ออก'!$B:$B,สรุป!$C268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8" s="9">
        <f>AA268+SUMIFS('บันทึกของเข้า-ออก'!$J:$J,'บันทึกของเข้า-ออก'!$B:$B,สรุป!$C268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8" s="9">
        <f>AB268+SUMIFS('บันทึกของเข้า-ออก'!$J:$J,'บันทึกของเข้า-ออก'!$B:$B,สรุป!$C268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8" s="9">
        <f>AC268+SUMIFS('บันทึกของเข้า-ออก'!$J:$J,'บันทึกของเข้า-ออก'!$B:$B,สรุป!$C268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8" s="9">
        <f>AD268+SUMIFS('บันทึกของเข้า-ออก'!$J:$J,'บันทึกของเข้า-ออก'!$B:$B,สรุป!$C268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8" s="9">
        <f>AE268+SUMIFS('บันทึกของเข้า-ออก'!$J:$J,'บันทึกของเข้า-ออก'!$B:$B,สรุป!$C268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8" s="9">
        <f>AF268+SUMIFS('บันทึกของเข้า-ออก'!$J:$J,'บันทึกของเข้า-ออก'!$B:$B,สรุป!$C268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8" s="9">
        <f>AG268+SUMIFS('บันทึกของเข้า-ออก'!$J:$J,'บันทึกของเข้า-ออก'!$B:$B,สรุป!$C268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8" s="9">
        <f>AH268+SUMIFS('บันทึกของเข้า-ออก'!$J:$J,'บันทึกของเข้า-ออก'!$B:$B,สรุป!$C268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8" s="9">
        <f>AI268+SUMIFS('บันทึกของเข้า-ออก'!$J:$J,'บันทึกของเข้า-ออก'!$B:$B,สรุป!$C268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8" s="9">
        <f>AJ268+SUMIFS('บันทึกของเข้า-ออก'!$J:$J,'บันทึกของเข้า-ออก'!$B:$B,สรุป!$C268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8" s="9">
        <f>AK268+SUMIFS('บันทึกของเข้า-ออก'!$J:$J,'บันทึกของเข้า-ออก'!$B:$B,สรุป!$C268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8" s="26"/>
      <c r="T268" s="33"/>
      <c r="U268" s="34"/>
      <c r="V268" s="25" t="str">
        <f t="shared" si="22"/>
        <v>ค้อน</v>
      </c>
      <c r="W268" s="44">
        <v>1</v>
      </c>
      <c r="X268" s="35" t="s">
        <v>58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34"/>
    </row>
    <row r="269" spans="2:38" x14ac:dyDescent="0.3">
      <c r="B269" s="43" t="s">
        <v>275</v>
      </c>
      <c r="C269" s="6" t="s">
        <v>274</v>
      </c>
      <c r="D269" s="44">
        <f t="shared" si="21"/>
        <v>0</v>
      </c>
      <c r="E269" s="6" t="s">
        <v>58</v>
      </c>
      <c r="F269" s="9">
        <f>Y269+SUMIFS('บันทึกของเข้า-ออก'!$J:$J,'บันทึกของเข้า-ออก'!$B:$B,สรุป!$C269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69" s="9">
        <f>Z269+SUMIFS('บันทึกของเข้า-ออก'!$J:$J,'บันทึกของเข้า-ออก'!$B:$B,สรุป!$C269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69" s="9">
        <f>AA269+SUMIFS('บันทึกของเข้า-ออก'!$J:$J,'บันทึกของเข้า-ออก'!$B:$B,สรุป!$C269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69" s="9">
        <f>AB269+SUMIFS('บันทึกของเข้า-ออก'!$J:$J,'บันทึกของเข้า-ออก'!$B:$B,สรุป!$C269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69" s="9">
        <f>AC269+SUMIFS('บันทึกของเข้า-ออก'!$J:$J,'บันทึกของเข้า-ออก'!$B:$B,สรุป!$C269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69" s="9">
        <f>AD269+SUMIFS('บันทึกของเข้า-ออก'!$J:$J,'บันทึกของเข้า-ออก'!$B:$B,สรุป!$C269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69" s="9">
        <f>AE269+SUMIFS('บันทึกของเข้า-ออก'!$J:$J,'บันทึกของเข้า-ออก'!$B:$B,สรุป!$C269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69" s="9">
        <f>AF269+SUMIFS('บันทึกของเข้า-ออก'!$J:$J,'บันทึกของเข้า-ออก'!$B:$B,สรุป!$C269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69" s="9">
        <f>AG269+SUMIFS('บันทึกของเข้า-ออก'!$J:$J,'บันทึกของเข้า-ออก'!$B:$B,สรุป!$C269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69" s="9">
        <f>AH269+SUMIFS('บันทึกของเข้า-ออก'!$J:$J,'บันทึกของเข้า-ออก'!$B:$B,สรุป!$C269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69" s="9">
        <f>AI269+SUMIFS('บันทึกของเข้า-ออก'!$J:$J,'บันทึกของเข้า-ออก'!$B:$B,สรุป!$C269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69" s="9">
        <f>AJ269+SUMIFS('บันทึกของเข้า-ออก'!$J:$J,'บันทึกของเข้า-ออก'!$B:$B,สรุป!$C269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69" s="9">
        <f>AK269+SUMIFS('บันทึกของเข้า-ออก'!$J:$J,'บันทึกของเข้า-ออก'!$B:$B,สรุป!$C269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269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69" s="26"/>
      <c r="T269" s="33"/>
      <c r="U269" s="34"/>
      <c r="V269" s="25" t="str">
        <f t="shared" si="22"/>
        <v>ขวาน</v>
      </c>
      <c r="W269" s="44">
        <v>1</v>
      </c>
      <c r="X269" s="35" t="s">
        <v>58</v>
      </c>
      <c r="Y269" s="26">
        <v>0</v>
      </c>
      <c r="Z269" s="26">
        <v>0</v>
      </c>
      <c r="AA269" s="26">
        <v>0</v>
      </c>
      <c r="AB269" s="26">
        <v>0</v>
      </c>
      <c r="AC269" s="26">
        <v>0</v>
      </c>
      <c r="AD269" s="26">
        <v>0</v>
      </c>
      <c r="AE269" s="26">
        <v>0</v>
      </c>
      <c r="AF269" s="26">
        <v>0</v>
      </c>
      <c r="AG269" s="26">
        <v>0</v>
      </c>
      <c r="AH269" s="26">
        <v>0</v>
      </c>
      <c r="AI269" s="26">
        <v>0</v>
      </c>
      <c r="AJ269" s="26">
        <v>0</v>
      </c>
      <c r="AK269" s="26">
        <v>0</v>
      </c>
      <c r="AL269" s="34"/>
    </row>
    <row r="270" spans="2:38" x14ac:dyDescent="0.3">
      <c r="B270" s="43" t="s">
        <v>275</v>
      </c>
      <c r="C270" s="6" t="s">
        <v>410</v>
      </c>
      <c r="D270" s="44">
        <f t="shared" si="21"/>
        <v>2</v>
      </c>
      <c r="E270" s="6" t="s">
        <v>58</v>
      </c>
      <c r="F270" s="9">
        <f>Y270+SUMIFS('บันทึกของเข้า-ออก'!$J:$J,'บันทึกของเข้า-ออก'!$B:$B,สรุป!$C270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0" s="9">
        <f>Z270+SUMIFS('บันทึกของเข้า-ออก'!$J:$J,'บันทึกของเข้า-ออก'!$B:$B,สรุป!$C270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0" s="9">
        <v>2</v>
      </c>
      <c r="I270" s="9">
        <f>AB270+SUMIFS('บันทึกของเข้า-ออก'!$J:$J,'บันทึกของเข้า-ออก'!$B:$B,สรุป!$C270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0" s="9">
        <f>AC270+SUMIFS('บันทึกของเข้า-ออก'!$J:$J,'บันทึกของเข้า-ออก'!$B:$B,สรุป!$C270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0" s="9">
        <f>AD270+SUMIFS('บันทึกของเข้า-ออก'!$J:$J,'บันทึกของเข้า-ออก'!$B:$B,สรุป!$C270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0" s="9">
        <f>AE270+SUMIFS('บันทึกของเข้า-ออก'!$J:$J,'บันทึกของเข้า-ออก'!$B:$B,สรุป!$C270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0" s="9">
        <f>AF270+SUMIFS('บันทึกของเข้า-ออก'!$J:$J,'บันทึกของเข้า-ออก'!$B:$B,สรุป!$C270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0" s="9">
        <f>AG270+SUMIFS('บันทึกของเข้า-ออก'!$J:$J,'บันทึกของเข้า-ออก'!$B:$B,สรุป!$C270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0" s="9">
        <f>AH270+SUMIFS('บันทึกของเข้า-ออก'!$J:$J,'บันทึกของเข้า-ออก'!$B:$B,สรุป!$C270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0" s="9">
        <f>AI270+SUMIFS('บันทึกของเข้า-ออก'!$J:$J,'บันทึกของเข้า-ออก'!$B:$B,สรุป!$C270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0" s="9">
        <f>AJ270+SUMIFS('บันทึกของเข้า-ออก'!$J:$J,'บันทึกของเข้า-ออก'!$B:$B,สรุป!$C270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0" s="9">
        <f>AK270+SUMIFS('บันทึกของเข้า-ออก'!$J:$J,'บันทึกของเข้า-ออก'!$B:$B,สรุป!$C270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0" s="26"/>
      <c r="T270" s="33"/>
      <c r="U270" s="34"/>
      <c r="V270" s="25" t="str">
        <f t="shared" si="22"/>
        <v>ค้อนปอนด์ 8 P พร้อมด้าม</v>
      </c>
      <c r="W270" s="44">
        <v>2</v>
      </c>
      <c r="X270" s="35" t="s">
        <v>58</v>
      </c>
      <c r="Y270" s="26">
        <v>0</v>
      </c>
      <c r="Z270" s="26">
        <v>0</v>
      </c>
      <c r="AA270" s="26">
        <v>2</v>
      </c>
      <c r="AB270" s="26">
        <v>0</v>
      </c>
      <c r="AC270" s="26">
        <v>0</v>
      </c>
      <c r="AD270" s="26">
        <v>0</v>
      </c>
      <c r="AE270" s="26">
        <v>0</v>
      </c>
      <c r="AF270" s="26">
        <v>0</v>
      </c>
      <c r="AG270" s="26">
        <v>0</v>
      </c>
      <c r="AH270" s="26">
        <v>0</v>
      </c>
      <c r="AI270" s="26">
        <v>0</v>
      </c>
      <c r="AJ270" s="26">
        <v>0</v>
      </c>
      <c r="AK270" s="26">
        <v>0</v>
      </c>
      <c r="AL270" s="34"/>
    </row>
    <row r="271" spans="2:38" x14ac:dyDescent="0.3">
      <c r="B271" s="43" t="s">
        <v>275</v>
      </c>
      <c r="C271" s="6" t="s">
        <v>284</v>
      </c>
      <c r="D271" s="44">
        <f t="shared" si="21"/>
        <v>1</v>
      </c>
      <c r="E271" s="6" t="s">
        <v>58</v>
      </c>
      <c r="F271" s="9">
        <f>Y271+SUMIFS('บันทึกของเข้า-ออก'!$J:$J,'บันทึกของเข้า-ออก'!$B:$B,สรุป!$C271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F$5,'บันทึกของเข้า-ออก'!$D:$D,"&gt;="&amp;สรุป!$F$2,'บันทึกของเข้า-ออก'!$D:$D,"&lt;="&amp;สรุป!$G$2)</f>
        <v>1</v>
      </c>
      <c r="G271" s="9">
        <f>Z271+SUMIFS('บันทึกของเข้า-ออก'!$J:$J,'บันทึกของเข้า-ออก'!$B:$B,สรุป!$C271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1" s="9">
        <f>AA271+SUMIFS('บันทึกของเข้า-ออก'!$J:$J,'บันทึกของเข้า-ออก'!$B:$B,สรุป!$C271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1" s="9">
        <f>AB271+SUMIFS('บันทึกของเข้า-ออก'!$J:$J,'บันทึกของเข้า-ออก'!$B:$B,สรุป!$C271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1" s="9">
        <f>AC271+SUMIFS('บันทึกของเข้า-ออก'!$J:$J,'บันทึกของเข้า-ออก'!$B:$B,สรุป!$C271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1" s="9">
        <f>AD271+SUMIFS('บันทึกของเข้า-ออก'!$J:$J,'บันทึกของเข้า-ออก'!$B:$B,สรุป!$C271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1" s="9">
        <f>AE271+SUMIFS('บันทึกของเข้า-ออก'!$J:$J,'บันทึกของเข้า-ออก'!$B:$B,สรุป!$C271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1" s="9">
        <f>AF271+SUMIFS('บันทึกของเข้า-ออก'!$J:$J,'บันทึกของเข้า-ออก'!$B:$B,สรุป!$C271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1" s="9">
        <f>AG271+SUMIFS('บันทึกของเข้า-ออก'!$J:$J,'บันทึกของเข้า-ออก'!$B:$B,สรุป!$C271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1" s="9">
        <f>AH271+SUMIFS('บันทึกของเข้า-ออก'!$J:$J,'บันทึกของเข้า-ออก'!$B:$B,สรุป!$C271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1" s="9">
        <f>AI271+SUMIFS('บันทึกของเข้า-ออก'!$J:$J,'บันทึกของเข้า-ออก'!$B:$B,สรุป!$C271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1" s="9">
        <f>AJ271+SUMIFS('บันทึกของเข้า-ออก'!$J:$J,'บันทึกของเข้า-ออก'!$B:$B,สรุป!$C271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1" s="9">
        <f>AK271+SUMIFS('บันทึกของเข้า-ออก'!$J:$J,'บันทึกของเข้า-ออก'!$B:$B,สรุป!$C271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1" s="26"/>
      <c r="T271" s="33"/>
      <c r="U271" s="34"/>
      <c r="V271" s="25" t="str">
        <f t="shared" si="22"/>
        <v>บันไดเอเฟรมอลูมิเนียม</v>
      </c>
      <c r="W271" s="44">
        <v>1</v>
      </c>
      <c r="X271" s="35" t="s">
        <v>58</v>
      </c>
      <c r="Y271" s="26">
        <v>1</v>
      </c>
      <c r="Z271" s="26">
        <v>0</v>
      </c>
      <c r="AA271" s="26">
        <v>0</v>
      </c>
      <c r="AB271" s="26">
        <v>0</v>
      </c>
      <c r="AC271" s="26">
        <v>0</v>
      </c>
      <c r="AD271" s="26">
        <v>0</v>
      </c>
      <c r="AE271" s="26">
        <v>0</v>
      </c>
      <c r="AF271" s="26">
        <v>0</v>
      </c>
      <c r="AG271" s="26">
        <v>0</v>
      </c>
      <c r="AH271" s="26">
        <v>0</v>
      </c>
      <c r="AI271" s="26">
        <v>0</v>
      </c>
      <c r="AJ271" s="26">
        <v>0</v>
      </c>
      <c r="AK271" s="26">
        <v>0</v>
      </c>
      <c r="AL271" s="34"/>
    </row>
    <row r="272" spans="2:38" x14ac:dyDescent="0.3">
      <c r="B272" s="43" t="s">
        <v>275</v>
      </c>
      <c r="C272" s="6" t="s">
        <v>317</v>
      </c>
      <c r="D272" s="44">
        <f t="shared" si="21"/>
        <v>0</v>
      </c>
      <c r="E272" s="6" t="s">
        <v>58</v>
      </c>
      <c r="F272" s="9">
        <f>Y272+SUMIFS('บันทึกของเข้า-ออก'!$J:$J,'บันทึกของเข้า-ออก'!$B:$B,สรุป!$C272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2" s="9">
        <f>Z272+SUMIFS('บันทึกของเข้า-ออก'!$J:$J,'บันทึกของเข้า-ออก'!$B:$B,สรุป!$C272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2" s="9">
        <f>AA272+SUMIFS('บันทึกของเข้า-ออก'!$J:$J,'บันทึกของเข้า-ออก'!$B:$B,สรุป!$C272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2" s="9">
        <f>AB272+SUMIFS('บันทึกของเข้า-ออก'!$J:$J,'บันทึกของเข้า-ออก'!$B:$B,สรุป!$C272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2" s="9">
        <f>AC272+SUMIFS('บันทึกของเข้า-ออก'!$J:$J,'บันทึกของเข้า-ออก'!$B:$B,สรุป!$C272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2" s="9">
        <f>AD272+SUMIFS('บันทึกของเข้า-ออก'!$J:$J,'บันทึกของเข้า-ออก'!$B:$B,สรุป!$C272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2" s="9">
        <f>AE272+SUMIFS('บันทึกของเข้า-ออก'!$J:$J,'บันทึกของเข้า-ออก'!$B:$B,สรุป!$C272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2" s="9">
        <f>AF272+SUMIFS('บันทึกของเข้า-ออก'!$J:$J,'บันทึกของเข้า-ออก'!$B:$B,สรุป!$C272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2" s="9">
        <f>AG272+SUMIFS('บันทึกของเข้า-ออก'!$J:$J,'บันทึกของเข้า-ออก'!$B:$B,สรุป!$C272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2" s="9">
        <f>AH272+SUMIFS('บันทึกของเข้า-ออก'!$J:$J,'บันทึกของเข้า-ออก'!$B:$B,สรุป!$C272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2" s="9">
        <f>AI272+SUMIFS('บันทึกของเข้า-ออก'!$J:$J,'บันทึกของเข้า-ออก'!$B:$B,สรุป!$C272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2" s="9">
        <f>AJ272+SUMIFS('บันทึกของเข้า-ออก'!$J:$J,'บันทึกของเข้า-ออก'!$B:$B,สรุป!$C272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2" s="9">
        <f>AK272+SUMIFS('บันทึกของเข้า-ออก'!$J:$J,'บันทึกของเข้า-ออก'!$B:$B,สรุป!$C272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2" s="26"/>
      <c r="T272" s="33"/>
      <c r="U272" s="34"/>
      <c r="V272" s="25" t="str">
        <f t="shared" si="22"/>
        <v xml:space="preserve">หกเหลี่ยม เบอร์ 19 </v>
      </c>
      <c r="W272" s="44">
        <f t="shared" ref="W272:W286" si="23">SUMIF(Y272:AK272,"&gt;0")</f>
        <v>0</v>
      </c>
      <c r="X272" s="35" t="str">
        <f t="shared" ref="X272:X286" si="24">+E272</f>
        <v>อัน</v>
      </c>
      <c r="Y272" s="26">
        <v>0</v>
      </c>
      <c r="Z272" s="26">
        <v>0</v>
      </c>
      <c r="AA272" s="26">
        <v>0</v>
      </c>
      <c r="AB272" s="26">
        <v>0</v>
      </c>
      <c r="AC272" s="26">
        <v>0</v>
      </c>
      <c r="AD272" s="26">
        <v>0</v>
      </c>
      <c r="AE272" s="26">
        <v>0</v>
      </c>
      <c r="AF272" s="26">
        <v>0</v>
      </c>
      <c r="AG272" s="26">
        <v>0</v>
      </c>
      <c r="AH272" s="26">
        <v>0</v>
      </c>
      <c r="AI272" s="26">
        <v>0</v>
      </c>
      <c r="AJ272" s="26">
        <v>0</v>
      </c>
      <c r="AK272" s="26">
        <v>0</v>
      </c>
      <c r="AL272" s="34"/>
    </row>
    <row r="273" spans="2:1013" x14ac:dyDescent="0.3">
      <c r="B273" s="43" t="s">
        <v>275</v>
      </c>
      <c r="C273" s="6" t="s">
        <v>319</v>
      </c>
      <c r="D273" s="44">
        <f t="shared" si="21"/>
        <v>6</v>
      </c>
      <c r="E273" s="6" t="s">
        <v>58</v>
      </c>
      <c r="F273" s="9">
        <f>Y273+SUMIFS('บันทึกของเข้า-ออก'!$J:$J,'บันทึกของเข้า-ออก'!$B:$B,สรุป!$C273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3" s="9">
        <v>4</v>
      </c>
      <c r="H273" s="9">
        <f>AA273+SUMIFS('บันทึกของเข้า-ออก'!$J:$J,'บันทึกของเข้า-ออก'!$B:$B,สรุป!$C273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3" s="9">
        <f>AB273+SUMIFS('บันทึกของเข้า-ออก'!$J:$J,'บันทึกของเข้า-ออก'!$B:$B,สรุป!$C273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3" s="9">
        <f>AC273+SUMIFS('บันทึกของเข้า-ออก'!$J:$J,'บันทึกของเข้า-ออก'!$B:$B,สรุป!$C273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3" s="9">
        <f>AD273+SUMIFS('บันทึกของเข้า-ออก'!$J:$J,'บันทึกของเข้า-ออก'!$B:$B,สรุป!$C273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3" s="9">
        <f>AE273+SUMIFS('บันทึกของเข้า-ออก'!$J:$J,'บันทึกของเข้า-ออก'!$B:$B,สรุป!$C273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3" s="9">
        <f>AF273+SUMIFS('บันทึกของเข้า-ออก'!$J:$J,'บันทึกของเข้า-ออก'!$B:$B,สรุป!$C273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3" s="9">
        <f>AG273+SUMIFS('บันทึกของเข้า-ออก'!$J:$J,'บันทึกของเข้า-ออก'!$B:$B,สรุป!$C273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3" s="9">
        <v>2</v>
      </c>
      <c r="P273" s="9">
        <f>AI273+SUMIFS('บันทึกของเข้า-ออก'!$J:$J,'บันทึกของเข้า-ออก'!$B:$B,สรุป!$C273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3" s="9">
        <f>AJ273+SUMIFS('บันทึกของเข้า-ออก'!$J:$J,'บันทึกของเข้า-ออก'!$B:$B,สรุป!$C273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3" s="9">
        <f>AK273+SUMIFS('บันทึกของเข้า-ออก'!$J:$J,'บันทึกของเข้า-ออก'!$B:$B,สรุป!$C273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3" s="26"/>
      <c r="T273" s="33"/>
      <c r="U273" s="34"/>
      <c r="V273" s="25" t="str">
        <f t="shared" si="22"/>
        <v>ใบตัดปูน 7 นิ้ว</v>
      </c>
      <c r="W273" s="44">
        <f t="shared" si="23"/>
        <v>6</v>
      </c>
      <c r="X273" s="35" t="str">
        <f t="shared" si="24"/>
        <v>อัน</v>
      </c>
      <c r="Y273" s="26"/>
      <c r="Z273" s="26">
        <v>4</v>
      </c>
      <c r="AA273" s="26">
        <v>0</v>
      </c>
      <c r="AB273" s="26">
        <v>0</v>
      </c>
      <c r="AC273" s="26">
        <v>0</v>
      </c>
      <c r="AD273" s="26">
        <v>0</v>
      </c>
      <c r="AE273" s="26">
        <v>0</v>
      </c>
      <c r="AF273" s="26">
        <v>0</v>
      </c>
      <c r="AG273" s="26">
        <v>0</v>
      </c>
      <c r="AH273" s="26">
        <v>2</v>
      </c>
      <c r="AI273" s="26">
        <v>0</v>
      </c>
      <c r="AJ273" s="26">
        <v>0</v>
      </c>
      <c r="AK273" s="26">
        <v>0</v>
      </c>
      <c r="AL273" s="34"/>
    </row>
    <row r="274" spans="2:1013" x14ac:dyDescent="0.3">
      <c r="B274" s="43" t="s">
        <v>275</v>
      </c>
      <c r="C274" s="6" t="s">
        <v>320</v>
      </c>
      <c r="D274" s="44">
        <f t="shared" si="21"/>
        <v>0</v>
      </c>
      <c r="E274" s="6" t="s">
        <v>321</v>
      </c>
      <c r="F274" s="9">
        <f>Y274+SUMIFS('บันทึกของเข้า-ออก'!$J:$J,'บันทึกของเข้า-ออก'!$B:$B,สรุป!$C274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4" s="9">
        <f>Z274+SUMIFS('บันทึกของเข้า-ออก'!$J:$J,'บันทึกของเข้า-ออก'!$B:$B,สรุป!$C274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4" s="9">
        <f>AA274+SUMIFS('บันทึกของเข้า-ออก'!$J:$J,'บันทึกของเข้า-ออก'!$B:$B,สรุป!$C274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4" s="9">
        <f>AB274+SUMIFS('บันทึกของเข้า-ออก'!$J:$J,'บันทึกของเข้า-ออก'!$B:$B,สรุป!$C274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4" s="9">
        <f>AC274+SUMIFS('บันทึกของเข้า-ออก'!$J:$J,'บันทึกของเข้า-ออก'!$B:$B,สรุป!$C274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4" s="9">
        <f>AD274+SUMIFS('บันทึกของเข้า-ออก'!$J:$J,'บันทึกของเข้า-ออก'!$B:$B,สรุป!$C274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4" s="9">
        <f>AE274+SUMIFS('บันทึกของเข้า-ออก'!$J:$J,'บันทึกของเข้า-ออก'!$B:$B,สรุป!$C274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4" s="9">
        <f>AF274+SUMIFS('บันทึกของเข้า-ออก'!$J:$J,'บันทึกของเข้า-ออก'!$B:$B,สรุป!$C274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4" s="9">
        <f>AG274+SUMIFS('บันทึกของเข้า-ออก'!$J:$J,'บันทึกของเข้า-ออก'!$B:$B,สรุป!$C274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4" s="9">
        <f>AH274+SUMIFS('บันทึกของเข้า-ออก'!$J:$J,'บันทึกของเข้า-ออก'!$B:$B,สรุป!$C274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4" s="9">
        <f>AI274+SUMIFS('บันทึกของเข้า-ออก'!$J:$J,'บันทึกของเข้า-ออก'!$B:$B,สรุป!$C274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4" s="9">
        <f>AJ274+SUMIFS('บันทึกของเข้า-ออก'!$J:$J,'บันทึกของเข้า-ออก'!$B:$B,สรุป!$C274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4" s="9">
        <f>AK274+SUMIFS('บันทึกของเข้า-ออก'!$J:$J,'บันทึกของเข้า-ออก'!$B:$B,สรุป!$C274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4" s="26"/>
      <c r="T274" s="33"/>
      <c r="U274" s="34"/>
      <c r="V274" s="25" t="str">
        <f t="shared" si="22"/>
        <v>ปูนปรับระดับ</v>
      </c>
      <c r="W274" s="44">
        <f t="shared" si="23"/>
        <v>0</v>
      </c>
      <c r="X274" s="35" t="str">
        <f t="shared" si="24"/>
        <v>ถุง</v>
      </c>
      <c r="Y274" s="26">
        <v>0</v>
      </c>
      <c r="Z274" s="26">
        <v>0</v>
      </c>
      <c r="AA274" s="26">
        <v>0</v>
      </c>
      <c r="AB274" s="26">
        <v>0</v>
      </c>
      <c r="AC274" s="26">
        <v>0</v>
      </c>
      <c r="AD274" s="26">
        <v>0</v>
      </c>
      <c r="AE274" s="26">
        <v>0</v>
      </c>
      <c r="AF274" s="26">
        <v>0</v>
      </c>
      <c r="AG274" s="26">
        <v>0</v>
      </c>
      <c r="AH274" s="26">
        <v>0</v>
      </c>
      <c r="AI274" s="26">
        <v>0</v>
      </c>
      <c r="AJ274" s="26">
        <v>0</v>
      </c>
      <c r="AK274" s="26">
        <v>0</v>
      </c>
      <c r="AL274" s="34"/>
    </row>
    <row r="275" spans="2:1013" x14ac:dyDescent="0.3">
      <c r="B275" s="43" t="s">
        <v>275</v>
      </c>
      <c r="C275" s="6" t="s">
        <v>408</v>
      </c>
      <c r="D275" s="44">
        <f t="shared" si="21"/>
        <v>0</v>
      </c>
      <c r="E275" s="6" t="s">
        <v>321</v>
      </c>
      <c r="F275" s="9">
        <f>Y275+SUMIFS('บันทึกของเข้า-ออก'!$J:$J,'บันทึกของเข้า-ออก'!$B:$B,สรุป!$C275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5" s="9">
        <f>Z275+SUMIFS('บันทึกของเข้า-ออก'!$J:$J,'บันทึกของเข้า-ออก'!$B:$B,สรุป!$C275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5" s="9">
        <f>AA275+SUMIFS('บันทึกของเข้า-ออก'!$J:$J,'บันทึกของเข้า-ออก'!$B:$B,สรุป!$C275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5" s="9">
        <f>AB275+SUMIFS('บันทึกของเข้า-ออก'!$J:$J,'บันทึกของเข้า-ออก'!$B:$B,สรุป!$C275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5" s="9">
        <f>AC275+SUMIFS('บันทึกของเข้า-ออก'!$J:$J,'บันทึกของเข้า-ออก'!$B:$B,สรุป!$C275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5" s="9">
        <f>AD275+SUMIFS('บันทึกของเข้า-ออก'!$J:$J,'บันทึกของเข้า-ออก'!$B:$B,สรุป!$C275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5" s="9">
        <f>AE275+SUMIFS('บันทึกของเข้า-ออก'!$J:$J,'บันทึกของเข้า-ออก'!$B:$B,สรุป!$C275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5" s="9">
        <f>AF275+SUMIFS('บันทึกของเข้า-ออก'!$J:$J,'บันทึกของเข้า-ออก'!$B:$B,สรุป!$C275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5" s="9">
        <f>AG275+SUMIFS('บันทึกของเข้า-ออก'!$J:$J,'บันทึกของเข้า-ออก'!$B:$B,สรุป!$C275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5" s="9">
        <f>AH275+SUMIFS('บันทึกของเข้า-ออก'!$J:$J,'บันทึกของเข้า-ออก'!$B:$B,สรุป!$C275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5" s="9">
        <f>AI275+SUMIFS('บันทึกของเข้า-ออก'!$J:$J,'บันทึกของเข้า-ออก'!$B:$B,สรุป!$C275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5" s="9">
        <f>AJ275+SUMIFS('บันทึกของเข้า-ออก'!$J:$J,'บันทึกของเข้า-ออก'!$B:$B,สรุป!$C275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5" s="9">
        <f>AK275+SUMIFS('บันทึกของเข้า-ออก'!$J:$J,'บันทึกของเข้า-ออก'!$B:$B,สรุป!$C275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5" s="26"/>
      <c r="T275" s="33"/>
      <c r="U275" s="34"/>
      <c r="V275" s="25" t="str">
        <f t="shared" si="22"/>
        <v>ปูนเกร๊า</v>
      </c>
      <c r="W275" s="44">
        <f t="shared" si="23"/>
        <v>0</v>
      </c>
      <c r="X275" s="35" t="str">
        <f t="shared" si="24"/>
        <v>ถุง</v>
      </c>
      <c r="Y275" s="26">
        <v>0</v>
      </c>
      <c r="Z275" s="26">
        <v>0</v>
      </c>
      <c r="AA275" s="26">
        <v>0</v>
      </c>
      <c r="AB275" s="26">
        <v>0</v>
      </c>
      <c r="AC275" s="26">
        <v>0</v>
      </c>
      <c r="AD275" s="26">
        <v>0</v>
      </c>
      <c r="AE275" s="26">
        <v>0</v>
      </c>
      <c r="AF275" s="26">
        <v>0</v>
      </c>
      <c r="AG275" s="26">
        <v>0</v>
      </c>
      <c r="AH275" s="26">
        <v>0</v>
      </c>
      <c r="AI275" s="26">
        <v>0</v>
      </c>
      <c r="AJ275" s="26">
        <v>0</v>
      </c>
      <c r="AK275" s="26">
        <v>0</v>
      </c>
      <c r="AL275" s="34"/>
    </row>
    <row r="276" spans="2:1013" x14ac:dyDescent="0.3">
      <c r="B276" s="43" t="s">
        <v>275</v>
      </c>
      <c r="C276" s="6" t="s">
        <v>323</v>
      </c>
      <c r="D276" s="44">
        <f t="shared" si="21"/>
        <v>0</v>
      </c>
      <c r="E276" s="6" t="s">
        <v>251</v>
      </c>
      <c r="F276" s="9">
        <f>Y276+SUMIFS('บันทึกของเข้า-ออก'!$J:$J,'บันทึกของเข้า-ออก'!$B:$B,สรุป!$C276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6" s="9">
        <f>Z276+SUMIFS('บันทึกของเข้า-ออก'!$J:$J,'บันทึกของเข้า-ออก'!$B:$B,สรุป!$C276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6" s="9">
        <f>AA276+SUMIFS('บันทึกของเข้า-ออก'!$J:$J,'บันทึกของเข้า-ออก'!$B:$B,สรุป!$C276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6" s="9">
        <f>AB276+SUMIFS('บันทึกของเข้า-ออก'!$J:$J,'บันทึกของเข้า-ออก'!$B:$B,สรุป!$C276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6" s="9">
        <f>AC276+SUMIFS('บันทึกของเข้า-ออก'!$J:$J,'บันทึกของเข้า-ออก'!$B:$B,สรุป!$C276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6" s="9">
        <f>AD276+SUMIFS('บันทึกของเข้า-ออก'!$J:$J,'บันทึกของเข้า-ออก'!$B:$B,สรุป!$C276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6" s="9">
        <f>AE276+SUMIFS('บันทึกของเข้า-ออก'!$J:$J,'บันทึกของเข้า-ออก'!$B:$B,สรุป!$C276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6" s="9">
        <f>AF276+SUMIFS('บันทึกของเข้า-ออก'!$J:$J,'บันทึกของเข้า-ออก'!$B:$B,สรุป!$C276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6" s="9">
        <f>AG276+SUMIFS('บันทึกของเข้า-ออก'!$J:$J,'บันทึกของเข้า-ออก'!$B:$B,สรุป!$C276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6" s="9">
        <f>AH276+SUMIFS('บันทึกของเข้า-ออก'!$J:$J,'บันทึกของเข้า-ออก'!$B:$B,สรุป!$C276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6" s="9">
        <f>AI276+SUMIFS('บันทึกของเข้า-ออก'!$J:$J,'บันทึกของเข้า-ออก'!$B:$B,สรุป!$C276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6" s="9">
        <f>AJ276+SUMIFS('บันทึกของเข้า-ออก'!$J:$J,'บันทึกของเข้า-ออก'!$B:$B,สรุป!$C276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6" s="9">
        <f>AK276+SUMIFS('บันทึกของเข้า-ออก'!$J:$J,'บันทึกของเข้า-ออก'!$B:$B,สรุป!$C276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6" s="26"/>
      <c r="T276" s="33"/>
      <c r="U276" s="34"/>
      <c r="V276" s="25" t="str">
        <f t="shared" si="22"/>
        <v>ตู้กันฝน</v>
      </c>
      <c r="W276" s="44">
        <f t="shared" si="23"/>
        <v>0</v>
      </c>
      <c r="X276" s="35" t="str">
        <f t="shared" si="24"/>
        <v>ใบ</v>
      </c>
      <c r="Y276" s="26">
        <v>0</v>
      </c>
      <c r="Z276" s="26">
        <v>0</v>
      </c>
      <c r="AA276" s="26">
        <v>0</v>
      </c>
      <c r="AB276" s="26">
        <v>0</v>
      </c>
      <c r="AC276" s="26">
        <v>0</v>
      </c>
      <c r="AD276" s="26">
        <v>0</v>
      </c>
      <c r="AE276" s="26">
        <v>0</v>
      </c>
      <c r="AF276" s="26">
        <v>0</v>
      </c>
      <c r="AG276" s="26">
        <v>0</v>
      </c>
      <c r="AH276" s="26">
        <v>0</v>
      </c>
      <c r="AI276" s="26">
        <v>0</v>
      </c>
      <c r="AJ276" s="26">
        <v>0</v>
      </c>
      <c r="AK276" s="26">
        <v>0</v>
      </c>
      <c r="AL276" s="34"/>
    </row>
    <row r="277" spans="2:1013" x14ac:dyDescent="0.3">
      <c r="B277" s="43" t="s">
        <v>275</v>
      </c>
      <c r="C277" s="6" t="s">
        <v>324</v>
      </c>
      <c r="D277" s="44">
        <f t="shared" si="21"/>
        <v>2</v>
      </c>
      <c r="E277" s="6" t="s">
        <v>209</v>
      </c>
      <c r="F277" s="9">
        <f>Y277+SUMIFS('บันทึกของเข้า-ออก'!$J:$J,'บันทึกของเข้า-ออก'!$B:$B,สรุป!$C277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7" s="9">
        <f>Z277+SUMIFS('บันทึกของเข้า-ออก'!$J:$J,'บันทึกของเข้า-ออก'!$B:$B,สรุป!$C277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7" s="9">
        <v>2</v>
      </c>
      <c r="I277" s="9">
        <f>AB277+SUMIFS('บันทึกของเข้า-ออก'!$J:$J,'บันทึกของเข้า-ออก'!$B:$B,สรุป!$C277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7" s="9">
        <f>AC277+SUMIFS('บันทึกของเข้า-ออก'!$J:$J,'บันทึกของเข้า-ออก'!$B:$B,สรุป!$C277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7" s="9">
        <f>AD277+SUMIFS('บันทึกของเข้า-ออก'!$J:$J,'บันทึกของเข้า-ออก'!$B:$B,สรุป!$C277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7" s="9">
        <f>AE277+SUMIFS('บันทึกของเข้า-ออก'!$J:$J,'บันทึกของเข้า-ออก'!$B:$B,สรุป!$C277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7" s="9">
        <f>AF277+SUMIFS('บันทึกของเข้า-ออก'!$J:$J,'บันทึกของเข้า-ออก'!$B:$B,สรุป!$C277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7" s="9">
        <f>AG277+SUMIFS('บันทึกของเข้า-ออก'!$J:$J,'บันทึกของเข้า-ออก'!$B:$B,สรุป!$C277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7" s="9">
        <f>AH277+SUMIFS('บันทึกของเข้า-ออก'!$J:$J,'บันทึกของเข้า-ออก'!$B:$B,สรุป!$C277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7" s="9">
        <f>AI277+SUMIFS('บันทึกของเข้า-ออก'!$J:$J,'บันทึกของเข้า-ออก'!$B:$B,สรุป!$C277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7" s="9">
        <f>AJ277+SUMIFS('บันทึกของเข้า-ออก'!$J:$J,'บันทึกของเข้า-ออก'!$B:$B,สรุป!$C277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7" s="9">
        <f>AK277+SUMIFS('บันทึกของเข้า-ออก'!$J:$J,'บันทึกของเข้า-ออก'!$B:$B,สรุป!$C277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277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7" s="26"/>
      <c r="T277" s="33"/>
      <c r="U277" s="34"/>
      <c r="V277" s="25" t="str">
        <f t="shared" si="22"/>
        <v>รถเข็นปูนแบบล้อเดียว</v>
      </c>
      <c r="W277" s="44">
        <f t="shared" si="23"/>
        <v>2</v>
      </c>
      <c r="X277" s="35" t="str">
        <f t="shared" si="24"/>
        <v>คัน</v>
      </c>
      <c r="Y277" s="26">
        <v>0</v>
      </c>
      <c r="Z277" s="26">
        <v>0</v>
      </c>
      <c r="AA277" s="26">
        <v>2</v>
      </c>
      <c r="AB277" s="26">
        <v>0</v>
      </c>
      <c r="AC277" s="26">
        <v>0</v>
      </c>
      <c r="AD277" s="26">
        <v>0</v>
      </c>
      <c r="AE277" s="26">
        <v>0</v>
      </c>
      <c r="AF277" s="26">
        <v>0</v>
      </c>
      <c r="AG277" s="26">
        <v>0</v>
      </c>
      <c r="AH277" s="26">
        <v>0</v>
      </c>
      <c r="AI277" s="26">
        <v>0</v>
      </c>
      <c r="AJ277" s="26">
        <v>0</v>
      </c>
      <c r="AK277" s="26">
        <v>0</v>
      </c>
      <c r="AL277" s="34"/>
    </row>
    <row r="278" spans="2:1013" x14ac:dyDescent="0.3">
      <c r="B278" s="43" t="s">
        <v>275</v>
      </c>
      <c r="C278" s="6" t="s">
        <v>338</v>
      </c>
      <c r="D278" s="44">
        <f t="shared" si="21"/>
        <v>0</v>
      </c>
      <c r="E278" s="6" t="s">
        <v>339</v>
      </c>
      <c r="F278" s="9">
        <f>Y278+SUMIFS('บันทึกของเข้า-ออก'!$J:$J,'บันทึกของเข้า-ออก'!$B:$B,สรุป!$C278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8" s="9">
        <f>Z278+SUMIFS('บันทึกของเข้า-ออก'!$J:$J,'บันทึกของเข้า-ออก'!$B:$B,สรุป!$C278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8" s="9"/>
      <c r="I278" s="9">
        <f>AB278+SUMIFS('บันทึกของเข้า-ออก'!$J:$J,'บันทึกของเข้า-ออก'!$B:$B,สรุป!$C278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8" s="9">
        <f>AC278+SUMIFS('บันทึกของเข้า-ออก'!$J:$J,'บันทึกของเข้า-ออก'!$B:$B,สรุป!$C278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8" s="9">
        <f>AD278+SUMIFS('บันทึกของเข้า-ออก'!$J:$J,'บันทึกของเข้า-ออก'!$B:$B,สรุป!$C278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8" s="9">
        <f>AE278+SUMIFS('บันทึกของเข้า-ออก'!$J:$J,'บันทึกของเข้า-ออก'!$B:$B,สรุป!$C278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8" s="9">
        <f>AF278+SUMIFS('บันทึกของเข้า-ออก'!$J:$J,'บันทึกของเข้า-ออก'!$B:$B,สรุป!$C278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8" s="9">
        <f>AG278+SUMIFS('บันทึกของเข้า-ออก'!$J:$J,'บันทึกของเข้า-ออก'!$B:$B,สรุป!$C278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8" s="9">
        <f>AH278+SUMIFS('บันทึกของเข้า-ออก'!$J:$J,'บันทึกของเข้า-ออก'!$B:$B,สรุป!$C278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8" s="9">
        <f>AI278+SUMIFS('บันทึกของเข้า-ออก'!$J:$J,'บันทึกของเข้า-ออก'!$B:$B,สรุป!$C278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8" s="9">
        <f>AJ278+SUMIFS('บันทึกของเข้า-ออก'!$J:$J,'บันทึกของเข้า-ออก'!$B:$B,สรุป!$C278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8" s="9">
        <f>AK278+SUMIFS('บันทึกของเข้า-ออก'!$J:$J,'บันทึกของเข้า-ออก'!$B:$B,สรุป!$C278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278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8" s="26"/>
      <c r="T278" s="33"/>
      <c r="U278" s="34"/>
      <c r="V278" s="25" t="str">
        <f t="shared" ref="V278:V285" si="25">C278</f>
        <v>ตะปูคอนกรีต</v>
      </c>
      <c r="W278" s="44">
        <f t="shared" si="23"/>
        <v>0</v>
      </c>
      <c r="X278" s="35" t="str">
        <f t="shared" si="24"/>
        <v>กล่อง</v>
      </c>
      <c r="Y278" s="26">
        <v>0</v>
      </c>
      <c r="Z278" s="26">
        <v>0</v>
      </c>
      <c r="AA278" s="26" t="s">
        <v>387</v>
      </c>
      <c r="AB278" s="26">
        <v>0</v>
      </c>
      <c r="AC278" s="26">
        <v>0</v>
      </c>
      <c r="AD278" s="26">
        <v>0</v>
      </c>
      <c r="AE278" s="26">
        <v>0</v>
      </c>
      <c r="AF278" s="26">
        <v>0</v>
      </c>
      <c r="AG278" s="26">
        <v>0</v>
      </c>
      <c r="AH278" s="26">
        <v>0</v>
      </c>
      <c r="AI278" s="26">
        <v>0</v>
      </c>
      <c r="AJ278" s="26">
        <v>0</v>
      </c>
      <c r="AK278" s="26">
        <v>0</v>
      </c>
      <c r="AL278" s="34"/>
      <c r="ALY278" s="4" t="s">
        <v>409</v>
      </c>
    </row>
    <row r="279" spans="2:1013" x14ac:dyDescent="0.3">
      <c r="B279" s="43" t="s">
        <v>275</v>
      </c>
      <c r="C279" s="6" t="s">
        <v>348</v>
      </c>
      <c r="D279" s="44">
        <f t="shared" si="21"/>
        <v>0</v>
      </c>
      <c r="E279" s="6" t="s">
        <v>349</v>
      </c>
      <c r="F279" s="9">
        <f>Y279+SUMIFS('บันทึกของเข้า-ออก'!$J:$J,'บันทึกของเข้า-ออก'!$B:$B,สรุป!$C279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79" s="9">
        <f>Z279+SUMIFS('บันทึกของเข้า-ออก'!$J:$J,'บันทึกของเข้า-ออก'!$B:$B,สรุป!$C279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79" s="9">
        <f>AA279+SUMIFS('บันทึกของเข้า-ออก'!$J:$J,'บันทึกของเข้า-ออก'!$B:$B,สรุป!$C279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79" s="9">
        <f>AB279+SUMIFS('บันทึกของเข้า-ออก'!$J:$J,'บันทึกของเข้า-ออก'!$B:$B,สรุป!$C279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79" s="9">
        <f>AC279+SUMIFS('บันทึกของเข้า-ออก'!$J:$J,'บันทึกของเข้า-ออก'!$B:$B,สรุป!$C279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79" s="9">
        <f>AD279+SUMIFS('บันทึกของเข้า-ออก'!$J:$J,'บันทึกของเข้า-ออก'!$B:$B,สรุป!$C279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79" s="9">
        <f>AE279+SUMIFS('บันทึกของเข้า-ออก'!$J:$J,'บันทึกของเข้า-ออก'!$B:$B,สรุป!$C279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79" s="9">
        <f>AF279+SUMIFS('บันทึกของเข้า-ออก'!$J:$J,'บันทึกของเข้า-ออก'!$B:$B,สรุป!$C279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79" s="9">
        <f>AG279+SUMIFS('บันทึกของเข้า-ออก'!$J:$J,'บันทึกของเข้า-ออก'!$B:$B,สรุป!$C279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79" s="9">
        <f>AH279+SUMIFS('บันทึกของเข้า-ออก'!$J:$J,'บันทึกของเข้า-ออก'!$B:$B,สรุป!$C279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79" s="9">
        <f>AI279+SUMIFS('บันทึกของเข้า-ออก'!$J:$J,'บันทึกของเข้า-ออก'!$B:$B,สรุป!$C279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79" s="9">
        <f>AJ279+SUMIFS('บันทึกของเข้า-ออก'!$J:$J,'บันทึกของเข้า-ออก'!$B:$B,สรุป!$C279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79" s="9">
        <f>AK279+SUMIFS('บันทึกของเข้า-ออก'!$J:$J,'บันทึกของเข้า-ออก'!$B:$B,สรุป!$C279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279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79" s="26"/>
      <c r="T279" s="33"/>
      <c r="U279" s="34"/>
      <c r="V279" s="25" t="str">
        <f t="shared" si="25"/>
        <v>ประตู</v>
      </c>
      <c r="W279" s="44">
        <f t="shared" si="23"/>
        <v>0</v>
      </c>
      <c r="X279" s="35" t="str">
        <f t="shared" si="24"/>
        <v>บาน</v>
      </c>
      <c r="Y279" s="26">
        <v>0</v>
      </c>
      <c r="Z279" s="26">
        <v>0</v>
      </c>
      <c r="AA279" s="26">
        <v>0</v>
      </c>
      <c r="AB279" s="26">
        <v>0</v>
      </c>
      <c r="AC279" s="26">
        <v>0</v>
      </c>
      <c r="AD279" s="26">
        <v>0</v>
      </c>
      <c r="AE279" s="26">
        <v>0</v>
      </c>
      <c r="AF279" s="26">
        <v>0</v>
      </c>
      <c r="AG279" s="26">
        <v>0</v>
      </c>
      <c r="AH279" s="26">
        <v>0</v>
      </c>
      <c r="AI279" s="26">
        <v>0</v>
      </c>
      <c r="AJ279" s="26">
        <v>0</v>
      </c>
      <c r="AK279" s="26">
        <v>0</v>
      </c>
      <c r="AL279" s="34"/>
    </row>
    <row r="280" spans="2:1013" x14ac:dyDescent="0.3">
      <c r="B280" s="43" t="s">
        <v>357</v>
      </c>
      <c r="C280" s="6" t="s">
        <v>356</v>
      </c>
      <c r="D280" s="44">
        <f t="shared" si="21"/>
        <v>2</v>
      </c>
      <c r="E280" s="6" t="s">
        <v>251</v>
      </c>
      <c r="F280" s="9">
        <f>Y280+SUMIFS('บันทึกของเข้า-ออก'!$J:$J,'บันทึกของเข้า-ออก'!$B:$B,สรุป!$C280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0" s="9">
        <f>Z280+SUMIFS('บันทึกของเข้า-ออก'!$J:$J,'บันทึกของเข้า-ออก'!$B:$B,สรุป!$C280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0" s="9">
        <f>AA280+SUMIFS('บันทึกของเข้า-ออก'!$J:$J,'บันทึกของเข้า-ออก'!$B:$B,สรุป!$C280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H$5,'บันทึกของเข้า-ออก'!$D:$D,"&gt;="&amp;สรุป!$F$2,'บันทึกของเข้า-ออก'!$D:$D,"&lt;="&amp;สรุป!$G$2)</f>
        <v>2</v>
      </c>
      <c r="I280" s="9">
        <f>AB280+SUMIFS('บันทึกของเข้า-ออก'!$J:$J,'บันทึกของเข้า-ออก'!$B:$B,สรุป!$C280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0" s="9">
        <f>AC280+SUMIFS('บันทึกของเข้า-ออก'!$J:$J,'บันทึกของเข้า-ออก'!$B:$B,สรุป!$C280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0" s="9">
        <f>AD280+SUMIFS('บันทึกของเข้า-ออก'!$J:$J,'บันทึกของเข้า-ออก'!$B:$B,สรุป!$C280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0" s="9">
        <f>AE280+SUMIFS('บันทึกของเข้า-ออก'!$J:$J,'บันทึกของเข้า-ออก'!$B:$B,สรุป!$C280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0" s="9">
        <f>AF280+SUMIFS('บันทึกของเข้า-ออก'!$J:$J,'บันทึกของเข้า-ออก'!$B:$B,สรุป!$C280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0" s="9">
        <f>AG280+SUMIFS('บันทึกของเข้า-ออก'!$J:$J,'บันทึกของเข้า-ออก'!$B:$B,สรุป!$C280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0" s="9">
        <f>AH280+SUMIFS('บันทึกของเข้า-ออก'!$J:$J,'บันทึกของเข้า-ออก'!$B:$B,สรุป!$C280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0" s="9">
        <f>AI280+SUMIFS('บันทึกของเข้า-ออก'!$J:$J,'บันทึกของเข้า-ออก'!$B:$B,สรุป!$C280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0" s="9">
        <f>AJ280+SUMIFS('บันทึกของเข้า-ออก'!$J:$J,'บันทึกของเข้า-ออก'!$B:$B,สรุป!$C280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0" s="9">
        <f>AK280+SUMIFS('บันทึกของเข้า-ออก'!$J:$J,'บันทึกของเข้า-ออก'!$B:$B,สรุป!$C280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280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0" s="26"/>
      <c r="T280" s="33"/>
      <c r="U280" s="34"/>
      <c r="V280" s="25" t="s">
        <v>356</v>
      </c>
      <c r="W280" s="44">
        <v>1</v>
      </c>
      <c r="X280" s="35" t="s">
        <v>251</v>
      </c>
      <c r="Y280" s="26">
        <v>0</v>
      </c>
      <c r="Z280" s="26">
        <v>0</v>
      </c>
      <c r="AA280" s="26">
        <v>1</v>
      </c>
      <c r="AB280" s="26">
        <v>0</v>
      </c>
      <c r="AC280" s="26">
        <v>0</v>
      </c>
      <c r="AD280" s="26">
        <v>0</v>
      </c>
      <c r="AE280" s="26">
        <v>0</v>
      </c>
      <c r="AF280" s="26">
        <v>0</v>
      </c>
      <c r="AG280" s="26">
        <v>0</v>
      </c>
      <c r="AH280" s="26">
        <v>0</v>
      </c>
      <c r="AI280" s="26">
        <v>0</v>
      </c>
      <c r="AJ280" s="26">
        <v>0</v>
      </c>
      <c r="AK280" s="26">
        <v>0</v>
      </c>
      <c r="AL280" s="34"/>
    </row>
    <row r="281" spans="2:1013" x14ac:dyDescent="0.3">
      <c r="B281" s="43" t="s">
        <v>369</v>
      </c>
      <c r="C281" s="43" t="s">
        <v>368</v>
      </c>
      <c r="D281" s="44">
        <f t="shared" si="21"/>
        <v>80</v>
      </c>
      <c r="E281" s="6" t="s">
        <v>321</v>
      </c>
      <c r="F281" s="9">
        <f>Y281+SUMIFS('บันทึกของเข้า-ออก'!$J:$J,'บันทึกของเข้า-ออก'!$B:$B,สรุป!$C281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1" s="9">
        <f>Z281+SUMIFS('บันทึกของเข้า-ออก'!$J:$J,'บันทึกของเข้า-ออก'!$B:$B,สรุป!$C281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1" s="9">
        <f>AA281+SUMIFS('บันทึกของเข้า-ออก'!$J:$J,'บันทึกของเข้า-ออก'!$B:$B,สรุป!$C281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1" s="9">
        <f>AB281+SUMIFS('บันทึกของเข้า-ออก'!$J:$J,'บันทึกของเข้า-ออก'!$B:$B,สรุป!$C281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1" s="9">
        <f>AC281+SUMIFS('บันทึกของเข้า-ออก'!$J:$J,'บันทึกของเข้า-ออก'!$B:$B,สรุป!$C281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1" s="9">
        <f>AD281+SUMIFS('บันทึกของเข้า-ออก'!$J:$J,'บันทึกของเข้า-ออก'!$B:$B,สรุป!$C281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1" s="9">
        <f>AE281+SUMIFS('บันทึกของเข้า-ออก'!$J:$J,'บันทึกของเข้า-ออก'!$B:$B,สรุป!$C281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1" s="9">
        <f>AF281+SUMIFS('บันทึกของเข้า-ออก'!$J:$J,'บันทึกของเข้า-ออก'!$B:$B,สรุป!$C281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1" s="9">
        <f>AG281+SUMIFS('บันทึกของเข้า-ออก'!$J:$J,'บันทึกของเข้า-ออก'!$B:$B,สรุป!$C281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1" s="9">
        <f>AH281+SUMIFS('บันทึกของเข้า-ออก'!$J:$J,'บันทึกของเข้า-ออก'!$B:$B,สรุป!$C281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O$5,'บันทึกของเข้า-ออก'!$D:$D,"&gt;="&amp;สรุป!$F$2,'บันทึกของเข้า-ออก'!$D:$D,"&lt;="&amp;สรุป!$G$2)</f>
        <v>80</v>
      </c>
      <c r="P281" s="9">
        <f>AI281+SUMIFS('บันทึกของเข้า-ออก'!$J:$J,'บันทึกของเข้า-ออก'!$B:$B,สรุป!$C281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1" s="9">
        <f>AJ281+SUMIFS('บันทึกของเข้า-ออก'!$J:$J,'บันทึกของเข้า-ออก'!$B:$B,สรุป!$C281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1" s="9">
        <f>AK281+SUMIFS('บันทึกของเข้า-ออก'!$J:$J,'บันทึกของเข้า-ออก'!$B:$B,สรุป!$C281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281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1" s="26"/>
      <c r="T281" s="33"/>
      <c r="U281" s="34"/>
      <c r="V281" s="25" t="str">
        <f t="shared" ref="V281" si="26">C281</f>
        <v>ปูนสกิมตราลูกดิ่ง  (ขาว)</v>
      </c>
      <c r="W281" s="44">
        <f t="shared" si="23"/>
        <v>80</v>
      </c>
      <c r="X281" s="35" t="str">
        <f t="shared" ref="X281" si="27">+E281</f>
        <v>ถุง</v>
      </c>
      <c r="Y281" s="26">
        <v>0</v>
      </c>
      <c r="Z281" s="26">
        <v>0</v>
      </c>
      <c r="AA281" s="26">
        <v>0</v>
      </c>
      <c r="AB281" s="26">
        <v>0</v>
      </c>
      <c r="AC281" s="26">
        <v>0</v>
      </c>
      <c r="AD281" s="26">
        <v>0</v>
      </c>
      <c r="AE281" s="26">
        <v>0</v>
      </c>
      <c r="AF281" s="26">
        <v>80</v>
      </c>
      <c r="AG281" s="26">
        <v>0</v>
      </c>
      <c r="AH281" s="26">
        <v>0</v>
      </c>
      <c r="AI281" s="26">
        <v>0</v>
      </c>
      <c r="AJ281" s="26">
        <v>0</v>
      </c>
      <c r="AK281" s="26">
        <v>0</v>
      </c>
      <c r="AL281" s="34"/>
    </row>
    <row r="282" spans="2:1013" x14ac:dyDescent="0.3">
      <c r="B282" s="43"/>
      <c r="C282" s="6" t="s">
        <v>397</v>
      </c>
      <c r="D282" s="44">
        <f t="shared" si="21"/>
        <v>2</v>
      </c>
      <c r="E282" s="6"/>
      <c r="F282" s="9">
        <f>Y282+SUMIFS('บันทึกของเข้า-ออก'!$J:$J,'บันทึกของเข้า-ออก'!$B:$B,สรุป!$C282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2" s="9">
        <f>Z282+SUMIFS('บันทึกของเข้า-ออก'!$J:$J,'บันทึกของเข้า-ออก'!$B:$B,สรุป!$C282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2" s="9">
        <f>AA282+SUMIFS('บันทึกของเข้า-ออก'!$J:$J,'บันทึกของเข้า-ออก'!$B:$B,สรุป!$C282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2" s="9">
        <f>AB282+SUMIFS('บันทึกของเข้า-ออก'!$J:$J,'บันทึกของเข้า-ออก'!$B:$B,สรุป!$C282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2" s="9">
        <f>AC282+SUMIFS('บันทึกของเข้า-ออก'!$J:$J,'บันทึกของเข้า-ออก'!$B:$B,สรุป!$C282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J$5,'บันทึกของเข้า-ออก'!$D:$D,"&gt;="&amp;สรุป!$F$2,'บันทึกของเข้า-ออก'!$D:$D,"&lt;="&amp;สรุป!$G$2)</f>
        <v>2</v>
      </c>
      <c r="K282" s="9">
        <f>AD282+SUMIFS('บันทึกของเข้า-ออก'!$J:$J,'บันทึกของเข้า-ออก'!$B:$B,สรุป!$C282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2" s="9">
        <f>AE282+SUMIFS('บันทึกของเข้า-ออก'!$J:$J,'บันทึกของเข้า-ออก'!$B:$B,สรุป!$C282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2" s="9">
        <f>AF282+SUMIFS('บันทึกของเข้า-ออก'!$J:$J,'บันทึกของเข้า-ออก'!$B:$B,สรุป!$C282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2" s="9">
        <f>AG282+SUMIFS('บันทึกของเข้า-ออก'!$J:$J,'บันทึกของเข้า-ออก'!$B:$B,สรุป!$C282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2" s="9">
        <f>AH282+SUMIFS('บันทึกของเข้า-ออก'!$J:$J,'บันทึกของเข้า-ออก'!$B:$B,สรุป!$C282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2" s="9">
        <f>AI282+SUMIFS('บันทึกของเข้า-ออก'!$J:$J,'บันทึกของเข้า-ออก'!$B:$B,สรุป!$C282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2" s="9">
        <f>AJ282+SUMIFS('บันทึกของเข้า-ออก'!$J:$J,'บันทึกของเข้า-ออก'!$B:$B,สรุป!$C282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2" s="9">
        <f>AK282+SUMIFS('บันทึกของเข้า-ออก'!$J:$J,'บันทึกของเข้า-ออก'!$B:$B,สรุป!$C282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282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2" s="26"/>
      <c r="T282" s="33"/>
      <c r="U282" s="34"/>
      <c r="V282" s="25" t="str">
        <f t="shared" si="25"/>
        <v>ถังสำรองน้ำมัน ขนาด 5 ลิตร (สีแดง)</v>
      </c>
      <c r="W282" s="44">
        <f t="shared" si="23"/>
        <v>1</v>
      </c>
      <c r="X282" s="35">
        <f t="shared" si="24"/>
        <v>0</v>
      </c>
      <c r="Y282" s="26">
        <v>0</v>
      </c>
      <c r="Z282" s="26">
        <v>0</v>
      </c>
      <c r="AA282" s="26">
        <v>0</v>
      </c>
      <c r="AB282" s="26">
        <v>0</v>
      </c>
      <c r="AC282" s="26">
        <v>1</v>
      </c>
      <c r="AD282" s="26">
        <v>0</v>
      </c>
      <c r="AE282" s="26">
        <v>0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34"/>
    </row>
    <row r="283" spans="2:1013" x14ac:dyDescent="0.3">
      <c r="B283" s="43" t="s">
        <v>128</v>
      </c>
      <c r="C283" s="6"/>
      <c r="D283" s="44">
        <f t="shared" si="21"/>
        <v>0</v>
      </c>
      <c r="E283" s="6"/>
      <c r="F283" s="9">
        <f>Y283+SUMIFS('บันทึกของเข้า-ออก'!$J:$J,'บันทึกของเข้า-ออก'!$B:$B,สรุป!$C283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3" s="9">
        <f>Z283+SUMIFS('บันทึกของเข้า-ออก'!$J:$J,'บันทึกของเข้า-ออก'!$B:$B,สรุป!$C283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3" s="9">
        <f>AA283+SUMIFS('บันทึกของเข้า-ออก'!$J:$J,'บันทึกของเข้า-ออก'!$B:$B,สรุป!$C283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3" s="9">
        <f>AB283+SUMIFS('บันทึกของเข้า-ออก'!$J:$J,'บันทึกของเข้า-ออก'!$B:$B,สรุป!$C283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3" s="9">
        <f>AC283+SUMIFS('บันทึกของเข้า-ออก'!$J:$J,'บันทึกของเข้า-ออก'!$B:$B,สรุป!$C283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3" s="9">
        <f>AD283+SUMIFS('บันทึกของเข้า-ออก'!$J:$J,'บันทึกของเข้า-ออก'!$B:$B,สรุป!$C283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3" s="9">
        <f>AE283+SUMIFS('บันทึกของเข้า-ออก'!$J:$J,'บันทึกของเข้า-ออก'!$B:$B,สรุป!$C283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3" s="9">
        <f>AF283+SUMIFS('บันทึกของเข้า-ออก'!$J:$J,'บันทึกของเข้า-ออก'!$B:$B,สรุป!$C283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3" s="9">
        <f>AG283+SUMIFS('บันทึกของเข้า-ออก'!$J:$J,'บันทึกของเข้า-ออก'!$B:$B,สรุป!$C283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3" s="9">
        <f>AH283+SUMIFS('บันทึกของเข้า-ออก'!$J:$J,'บันทึกของเข้า-ออก'!$B:$B,สรุป!$C283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3" s="9">
        <f>AI283+SUMIFS('บันทึกของเข้า-ออก'!$J:$J,'บันทึกของเข้า-ออก'!$B:$B,สรุป!$C283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3" s="9">
        <f>AJ283+SUMIFS('บันทึกของเข้า-ออก'!$J:$J,'บันทึกของเข้า-ออก'!$B:$B,สรุป!$C283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3" s="9">
        <f>AK283+SUMIFS('บันทึกของเข้า-ออก'!$J:$J,'บันทึกของเข้า-ออก'!$B:$B,สรุป!$C283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283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3" s="26"/>
      <c r="T283" s="33"/>
      <c r="U283" s="34"/>
      <c r="V283" s="25">
        <f t="shared" si="25"/>
        <v>0</v>
      </c>
      <c r="W283" s="44">
        <f t="shared" si="23"/>
        <v>0</v>
      </c>
      <c r="X283" s="35">
        <f t="shared" si="24"/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34"/>
    </row>
    <row r="284" spans="2:1013" x14ac:dyDescent="0.3">
      <c r="B284" s="43"/>
      <c r="C284" s="6"/>
      <c r="D284" s="44">
        <f t="shared" si="21"/>
        <v>0</v>
      </c>
      <c r="E284" s="6"/>
      <c r="F284" s="9">
        <f>Y284+SUMIFS('บันทึกของเข้า-ออก'!$J:$J,'บันทึกของเข้า-ออก'!$B:$B,สรุป!$C284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4" s="9">
        <f>Z284+SUMIFS('บันทึกของเข้า-ออก'!$J:$J,'บันทึกของเข้า-ออก'!$B:$B,สรุป!$C284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4" s="9">
        <f>AA284+SUMIFS('บันทึกของเข้า-ออก'!$J:$J,'บันทึกของเข้า-ออก'!$B:$B,สรุป!$C284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4" s="9">
        <f>AB284+SUMIFS('บันทึกของเข้า-ออก'!$J:$J,'บันทึกของเข้า-ออก'!$B:$B,สรุป!$C284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4" s="9">
        <f>AC284+SUMIFS('บันทึกของเข้า-ออก'!$J:$J,'บันทึกของเข้า-ออก'!$B:$B,สรุป!$C284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4" s="9">
        <f>AD284+SUMIFS('บันทึกของเข้า-ออก'!$J:$J,'บันทึกของเข้า-ออก'!$B:$B,สรุป!$C284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4" s="9">
        <f>AE284+SUMIFS('บันทึกของเข้า-ออก'!$J:$J,'บันทึกของเข้า-ออก'!$B:$B,สรุป!$C284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4" s="9">
        <f>AF284+SUMIFS('บันทึกของเข้า-ออก'!$J:$J,'บันทึกของเข้า-ออก'!$B:$B,สรุป!$C284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4" s="9">
        <f>AG284+SUMIFS('บันทึกของเข้า-ออก'!$J:$J,'บันทึกของเข้า-ออก'!$B:$B,สรุป!$C284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4" s="9">
        <f>AH284+SUMIFS('บันทึกของเข้า-ออก'!$J:$J,'บันทึกของเข้า-ออก'!$B:$B,สรุป!$C284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4" s="9">
        <f>AI284+SUMIFS('บันทึกของเข้า-ออก'!$J:$J,'บันทึกของเข้า-ออก'!$B:$B,สรุป!$C284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4" s="9">
        <f>AJ284+SUMIFS('บันทึกของเข้า-ออก'!$J:$J,'บันทึกของเข้า-ออก'!$B:$B,สรุป!$C284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4" s="9">
        <f>AK284+SUMIFS('บันทึกของเข้า-ออก'!$J:$J,'บันทึกของเข้า-ออก'!$B:$B,สรุป!$C284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284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4" s="26"/>
      <c r="T284" s="33"/>
      <c r="U284" s="34"/>
      <c r="V284" s="25">
        <f t="shared" si="25"/>
        <v>0</v>
      </c>
      <c r="W284" s="44">
        <f t="shared" si="23"/>
        <v>0</v>
      </c>
      <c r="X284" s="35">
        <f t="shared" si="24"/>
        <v>0</v>
      </c>
      <c r="Y284" s="26">
        <v>0</v>
      </c>
      <c r="Z284" s="26">
        <v>0</v>
      </c>
      <c r="AA284" s="26">
        <v>0</v>
      </c>
      <c r="AB284" s="26">
        <v>0</v>
      </c>
      <c r="AC284" s="26">
        <v>0</v>
      </c>
      <c r="AD284" s="26">
        <v>0</v>
      </c>
      <c r="AE284" s="26">
        <v>0</v>
      </c>
      <c r="AF284" s="26">
        <v>0</v>
      </c>
      <c r="AG284" s="26">
        <v>0</v>
      </c>
      <c r="AH284" s="26">
        <v>0</v>
      </c>
      <c r="AI284" s="26">
        <v>0</v>
      </c>
      <c r="AJ284" s="26">
        <v>0</v>
      </c>
      <c r="AK284" s="26">
        <v>0</v>
      </c>
      <c r="AL284" s="34"/>
    </row>
    <row r="285" spans="2:1013" x14ac:dyDescent="0.3">
      <c r="B285" s="43"/>
      <c r="C285" s="6"/>
      <c r="D285" s="44">
        <f t="shared" si="21"/>
        <v>0</v>
      </c>
      <c r="E285" s="6"/>
      <c r="F285" s="9">
        <f>Y285+SUMIFS('บันทึกของเข้า-ออก'!$J:$J,'บันทึกของเข้า-ออก'!$B:$B,สรุป!$C285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5" s="9">
        <f>Z285+SUMIFS('บันทึกของเข้า-ออก'!$J:$J,'บันทึกของเข้า-ออก'!$B:$B,สรุป!$C285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5" s="9">
        <f>AA285+SUMIFS('บันทึกของเข้า-ออก'!$J:$J,'บันทึกของเข้า-ออก'!$B:$B,สรุป!$C285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5" s="9">
        <f>AB285+SUMIFS('บันทึกของเข้า-ออก'!$J:$J,'บันทึกของเข้า-ออก'!$B:$B,สรุป!$C285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5" s="9">
        <f>AC285+SUMIFS('บันทึกของเข้า-ออก'!$J:$J,'บันทึกของเข้า-ออก'!$B:$B,สรุป!$C285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5" s="9">
        <f>AD285+SUMIFS('บันทึกของเข้า-ออก'!$J:$J,'บันทึกของเข้า-ออก'!$B:$B,สรุป!$C285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5" s="9">
        <f>AE285+SUMIFS('บันทึกของเข้า-ออก'!$J:$J,'บันทึกของเข้า-ออก'!$B:$B,สรุป!$C285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5" s="9">
        <f>AF285+SUMIFS('บันทึกของเข้า-ออก'!$J:$J,'บันทึกของเข้า-ออก'!$B:$B,สรุป!$C285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5" s="9">
        <f>AG285+SUMIFS('บันทึกของเข้า-ออก'!$J:$J,'บันทึกของเข้า-ออก'!$B:$B,สรุป!$C285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5" s="9">
        <f>AH285+SUMIFS('บันทึกของเข้า-ออก'!$J:$J,'บันทึกของเข้า-ออก'!$B:$B,สรุป!$C285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5" s="9">
        <f>AI285+SUMIFS('บันทึกของเข้า-ออก'!$J:$J,'บันทึกของเข้า-ออก'!$B:$B,สรุป!$C285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5" s="9">
        <f>AJ285+SUMIFS('บันทึกของเข้า-ออก'!$J:$J,'บันทึกของเข้า-ออก'!$B:$B,สรุป!$C285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5" s="9">
        <f>AK285+SUMIFS('บันทึกของเข้า-ออก'!$J:$J,'บันทึกของเข้า-ออก'!$B:$B,สรุป!$C285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285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5" s="26"/>
      <c r="T285" s="33"/>
      <c r="U285" s="34"/>
      <c r="V285" s="25">
        <f t="shared" si="25"/>
        <v>0</v>
      </c>
      <c r="W285" s="44">
        <f t="shared" si="23"/>
        <v>0</v>
      </c>
      <c r="X285" s="35">
        <f t="shared" si="24"/>
        <v>0</v>
      </c>
      <c r="Y285" s="26">
        <v>0</v>
      </c>
      <c r="Z285" s="26">
        <v>0</v>
      </c>
      <c r="AA285" s="26">
        <v>0</v>
      </c>
      <c r="AB285" s="26">
        <v>0</v>
      </c>
      <c r="AC285" s="26">
        <v>0</v>
      </c>
      <c r="AD285" s="26">
        <v>0</v>
      </c>
      <c r="AE285" s="26">
        <v>0</v>
      </c>
      <c r="AF285" s="26">
        <v>0</v>
      </c>
      <c r="AG285" s="26">
        <v>0</v>
      </c>
      <c r="AH285" s="26">
        <v>0</v>
      </c>
      <c r="AI285" s="26">
        <v>0</v>
      </c>
      <c r="AJ285" s="26">
        <v>0</v>
      </c>
      <c r="AK285" s="26">
        <v>0</v>
      </c>
      <c r="AL285" s="34"/>
    </row>
    <row r="286" spans="2:1013" x14ac:dyDescent="0.3">
      <c r="B286" s="46"/>
      <c r="C286" s="47"/>
      <c r="D286" s="48">
        <f>SUM(F286:T286)</f>
        <v>0</v>
      </c>
      <c r="E286" s="47"/>
      <c r="F286" s="49">
        <f>Y286+SUMIFS('บันทึกของเข้า-ออก'!$J:$J,'บันทึกของเข้า-ออก'!$B:$B,สรุป!$C286,'บันทึกของเข้า-ออก'!$L:$L,สรุป!F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F$5,'บันทึกของเข้า-ออก'!$D:$D,"&gt;="&amp;สรุป!$F$2,'บันทึกของเข้า-ออก'!$D:$D,"&lt;="&amp;สรุป!$G$2)</f>
        <v>0</v>
      </c>
      <c r="G286" s="49">
        <f>Z286+SUMIFS('บันทึกของเข้า-ออก'!$J:$J,'บันทึกของเข้า-ออก'!$B:$B,สรุป!$C286,'บันทึกของเข้า-ออก'!$L:$L,สรุป!G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G$5,'บันทึกของเข้า-ออก'!$D:$D,"&gt;="&amp;สรุป!$F$2,'บันทึกของเข้า-ออก'!$D:$D,"&lt;="&amp;สรุป!$G$2)</f>
        <v>0</v>
      </c>
      <c r="H286" s="49">
        <f>AA286+SUMIFS('บันทึกของเข้า-ออก'!$J:$J,'บันทึกของเข้า-ออก'!$B:$B,สรุป!$C286,'บันทึกของเข้า-ออก'!$L:$L,สรุป!H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H$5,'บันทึกของเข้า-ออก'!$D:$D,"&gt;="&amp;สรุป!$F$2,'บันทึกของเข้า-ออก'!$D:$D,"&lt;="&amp;สรุป!$G$2)</f>
        <v>0</v>
      </c>
      <c r="I286" s="49">
        <f>AB286+SUMIFS('บันทึกของเข้า-ออก'!$J:$J,'บันทึกของเข้า-ออก'!$B:$B,สรุป!$C286,'บันทึกของเข้า-ออก'!$L:$L,สรุป!I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I$5,'บันทึกของเข้า-ออก'!$D:$D,"&gt;="&amp;สรุป!$F$2,'บันทึกของเข้า-ออก'!$D:$D,"&lt;="&amp;สรุป!$G$2)</f>
        <v>0</v>
      </c>
      <c r="J286" s="49">
        <f>AC286+SUMIFS('บันทึกของเข้า-ออก'!$J:$J,'บันทึกของเข้า-ออก'!$B:$B,สรุป!$C286,'บันทึกของเข้า-ออก'!$L:$L,สรุป!J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J$5,'บันทึกของเข้า-ออก'!$D:$D,"&gt;="&amp;สรุป!$F$2,'บันทึกของเข้า-ออก'!$D:$D,"&lt;="&amp;สรุป!$G$2)</f>
        <v>0</v>
      </c>
      <c r="K286" s="49">
        <f>AD286+SUMIFS('บันทึกของเข้า-ออก'!$J:$J,'บันทึกของเข้า-ออก'!$B:$B,สรุป!$C286,'บันทึกของเข้า-ออก'!$L:$L,สรุป!K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K$5,'บันทึกของเข้า-ออก'!$D:$D,"&gt;="&amp;สรุป!$F$2,'บันทึกของเข้า-ออก'!$D:$D,"&lt;="&amp;สรุป!$G$2)</f>
        <v>0</v>
      </c>
      <c r="L286" s="49">
        <f>AE286+SUMIFS('บันทึกของเข้า-ออก'!$J:$J,'บันทึกของเข้า-ออก'!$B:$B,สรุป!$C286,'บันทึกของเข้า-ออก'!$L:$L,สรุป!L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L$5,'บันทึกของเข้า-ออก'!$D:$D,"&gt;="&amp;สรุป!$F$2,'บันทึกของเข้า-ออก'!$D:$D,"&lt;="&amp;สรุป!$G$2)</f>
        <v>0</v>
      </c>
      <c r="M286" s="49">
        <f>AF286+SUMIFS('บันทึกของเข้า-ออก'!$J:$J,'บันทึกของเข้า-ออก'!$B:$B,สรุป!$C286,'บันทึกของเข้า-ออก'!$L:$L,สรุป!M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M$5,'บันทึกของเข้า-ออก'!$D:$D,"&gt;="&amp;สรุป!$F$2,'บันทึกของเข้า-ออก'!$D:$D,"&lt;="&amp;สรุป!$G$2)</f>
        <v>0</v>
      </c>
      <c r="N286" s="49">
        <f>AG286+SUMIFS('บันทึกของเข้า-ออก'!$J:$J,'บันทึกของเข้า-ออก'!$B:$B,สรุป!$C286,'บันทึกของเข้า-ออก'!$L:$L,สรุป!N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N$5,'บันทึกของเข้า-ออก'!$D:$D,"&gt;="&amp;สรุป!$F$2,'บันทึกของเข้า-ออก'!$D:$D,"&lt;="&amp;สรุป!$G$2)</f>
        <v>0</v>
      </c>
      <c r="O286" s="49">
        <f>AH286+SUMIFS('บันทึกของเข้า-ออก'!$J:$J,'บันทึกของเข้า-ออก'!$B:$B,สรุป!$C286,'บันทึกของเข้า-ออก'!$L:$L,สรุป!O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O$5,'บันทึกของเข้า-ออก'!$D:$D,"&gt;="&amp;สรุป!$F$2,'บันทึกของเข้า-ออก'!$D:$D,"&lt;="&amp;สรุป!$G$2)</f>
        <v>0</v>
      </c>
      <c r="P286" s="49">
        <f>AI286+SUMIFS('บันทึกของเข้า-ออก'!$J:$J,'บันทึกของเข้า-ออก'!$B:$B,สรุป!$C286,'บันทึกของเข้า-ออก'!$L:$L,สรุป!P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P$5,'บันทึกของเข้า-ออก'!$D:$D,"&gt;="&amp;สรุป!$F$2,'บันทึกของเข้า-ออก'!$D:$D,"&lt;="&amp;สรุป!$G$2)</f>
        <v>0</v>
      </c>
      <c r="Q286" s="49">
        <f>AJ286+SUMIFS('บันทึกของเข้า-ออก'!$J:$J,'บันทึกของเข้า-ออก'!$B:$B,สรุป!$C286,'บันทึกของเข้า-ออก'!$L:$L,สรุป!Q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Q$5,'บันทึกของเข้า-ออก'!$D:$D,"&gt;="&amp;สรุป!$F$2,'บันทึกของเข้า-ออก'!$D:$D,"&lt;="&amp;สรุป!$G$2)</f>
        <v>0</v>
      </c>
      <c r="R286" s="49">
        <f>AK286+SUMIFS('บันทึกของเข้า-ออก'!$J:$J,'บันทึกของเข้า-ออก'!$B:$B,สรุป!$C286,'บันทึกของเข้า-ออก'!$L:$L,สรุป!R$5,'บันทึกของเข้า-ออก'!$I:$I,"&gt;="&amp;สรุป!$F$2,'บันทึกของเข้า-ออก'!$I:$I,"&lt;="&amp;สรุป!$G$2)-SUMIFS('บันทึกของเข้า-ออก'!$E:$E,'บันทึกของเข้า-ออก'!$B:$B,สรุป!$C286,'บันทึกของเข้า-ออก'!$F:$F,สรุป!R$5,'บันทึกของเข้า-ออก'!$D:$D,"&gt;="&amp;สรุป!$F$2,'บันทึกของเข้า-ออก'!$D:$D,"&lt;="&amp;สรุป!$G$2)</f>
        <v>0</v>
      </c>
      <c r="S286" s="60"/>
      <c r="T286" s="27"/>
      <c r="U286" s="36"/>
      <c r="V286" s="53"/>
      <c r="W286" s="54">
        <f t="shared" si="23"/>
        <v>0</v>
      </c>
      <c r="X286" s="55">
        <f t="shared" si="24"/>
        <v>0</v>
      </c>
      <c r="Y286" s="56">
        <v>0</v>
      </c>
      <c r="Z286" s="56">
        <v>0</v>
      </c>
      <c r="AA286" s="56">
        <v>0</v>
      </c>
      <c r="AB286" s="56">
        <v>0</v>
      </c>
      <c r="AC286" s="56">
        <v>0</v>
      </c>
      <c r="AD286" s="56">
        <v>0</v>
      </c>
      <c r="AE286" s="56">
        <v>0</v>
      </c>
      <c r="AF286" s="56">
        <v>0</v>
      </c>
      <c r="AG286" s="56">
        <v>0</v>
      </c>
      <c r="AH286" s="56">
        <v>0</v>
      </c>
      <c r="AI286" s="56">
        <v>0</v>
      </c>
      <c r="AJ286" s="56">
        <v>0</v>
      </c>
      <c r="AK286" s="56">
        <v>0</v>
      </c>
      <c r="AL286" s="36"/>
    </row>
  </sheetData>
  <autoFilter ref="B5:AL286" xr:uid="{8B6F4ED0-E9AC-4536-BAF7-9919E44EB944}"/>
  <mergeCells count="5">
    <mergeCell ref="V3:X4"/>
    <mergeCell ref="F3:I3"/>
    <mergeCell ref="J3:Q3"/>
    <mergeCell ref="B3:B4"/>
    <mergeCell ref="C3:C4"/>
  </mergeCells>
  <conditionalFormatting sqref="D6:S286 W6:W286">
    <cfRule type="cellIs" dxfId="5" priority="50" operator="lessThan">
      <formula>0</formula>
    </cfRule>
  </conditionalFormatting>
  <conditionalFormatting sqref="T6:T286">
    <cfRule type="cellIs" dxfId="4" priority="27" operator="equal">
      <formula>"ไม่มีข้อมูลตั้งต้น"</formula>
    </cfRule>
    <cfRule type="cellIs" dxfId="3" priority="28" operator="equal">
      <formula>"มีข้อมูลตั้งต้น"</formula>
    </cfRule>
  </conditionalFormatting>
  <pageMargins left="0.70866141732283472" right="0.70866141732283472" top="0.74803149606299213" bottom="0.74803149606299213" header="0.31496062992125984" footer="0.31496062992125984"/>
  <pageSetup paperSize="8" scale="94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1211-CEA9-4FFB-8BFE-EC22392EDF04}">
  <sheetPr>
    <pageSetUpPr fitToPage="1"/>
  </sheetPr>
  <dimension ref="B1:P198"/>
  <sheetViews>
    <sheetView zoomScale="82" zoomScaleNormal="82" zoomScaleSheetLayoutView="26" workbookViewId="0">
      <pane xSplit="3" ySplit="3" topLeftCell="D174" activePane="bottomRight" state="frozen"/>
      <selection pane="topRight" activeCell="D1" sqref="D1"/>
      <selection pane="bottomLeft" activeCell="A4" sqref="A4"/>
      <selection pane="bottomRight" activeCell="B188" sqref="B188"/>
    </sheetView>
  </sheetViews>
  <sheetFormatPr defaultRowHeight="14.4" x14ac:dyDescent="0.3"/>
  <cols>
    <col min="1" max="1" width="4.33203125" customWidth="1"/>
    <col min="2" max="2" width="28.6640625" customWidth="1"/>
    <col min="3" max="3" width="9.33203125" customWidth="1"/>
    <col min="4" max="4" width="16.88671875" style="7" customWidth="1"/>
    <col min="5" max="5" width="9.109375" style="7" customWidth="1"/>
    <col min="6" max="6" width="18.109375" style="7" customWidth="1"/>
    <col min="7" max="7" width="14.88671875" style="7" customWidth="1"/>
    <col min="8" max="8" width="14.44140625" style="7" customWidth="1"/>
    <col min="9" max="9" width="12.6640625" style="14" customWidth="1"/>
    <col min="10" max="10" width="8.88671875" style="7"/>
    <col min="11" max="13" width="14.88671875" style="7" customWidth="1"/>
    <col min="14" max="14" width="11.88671875" style="7" customWidth="1"/>
    <col min="15" max="15" width="40.88671875" customWidth="1"/>
  </cols>
  <sheetData>
    <row r="1" spans="2:16" ht="15" thickBot="1" x14ac:dyDescent="0.35">
      <c r="I1" s="7"/>
    </row>
    <row r="2" spans="2:16" ht="18" customHeight="1" thickTop="1" x14ac:dyDescent="0.3">
      <c r="B2" s="12"/>
      <c r="C2" s="17"/>
      <c r="D2" s="97" t="s">
        <v>11</v>
      </c>
      <c r="E2" s="98"/>
      <c r="F2" s="98"/>
      <c r="G2" s="98"/>
      <c r="H2" s="98"/>
      <c r="I2" s="99" t="s">
        <v>10</v>
      </c>
      <c r="J2" s="99"/>
      <c r="K2" s="99"/>
      <c r="L2" s="99"/>
      <c r="M2" s="99"/>
      <c r="N2" s="20"/>
      <c r="O2" s="12"/>
    </row>
    <row r="3" spans="2:16" s="7" customFormat="1" ht="18" customHeight="1" x14ac:dyDescent="0.3">
      <c r="B3" s="78" t="s">
        <v>9</v>
      </c>
      <c r="C3" s="18" t="s">
        <v>1</v>
      </c>
      <c r="D3" s="77" t="s">
        <v>8</v>
      </c>
      <c r="E3" s="76" t="s">
        <v>0</v>
      </c>
      <c r="F3" s="76" t="s">
        <v>13</v>
      </c>
      <c r="G3" s="16" t="s">
        <v>14</v>
      </c>
      <c r="H3" s="94" t="s">
        <v>15</v>
      </c>
      <c r="I3" s="75" t="s">
        <v>8</v>
      </c>
      <c r="J3" s="75" t="s">
        <v>0</v>
      </c>
      <c r="K3" s="3" t="s">
        <v>62</v>
      </c>
      <c r="L3" s="75" t="s">
        <v>12</v>
      </c>
      <c r="M3" s="3" t="s">
        <v>65</v>
      </c>
      <c r="N3" s="21" t="s">
        <v>16</v>
      </c>
      <c r="O3" s="13" t="s">
        <v>17</v>
      </c>
      <c r="P3" s="7" t="s">
        <v>139</v>
      </c>
    </row>
    <row r="4" spans="2:16" x14ac:dyDescent="0.3">
      <c r="B4" s="1" t="s">
        <v>18</v>
      </c>
      <c r="C4" s="19" t="str">
        <f ca="1">VLOOKUP('บันทึกของเข้า-ออก'!B4,สรุป!C:E,3,0)</f>
        <v>ขา</v>
      </c>
      <c r="D4" s="23">
        <v>46183</v>
      </c>
      <c r="E4" s="2">
        <v>32</v>
      </c>
      <c r="F4" s="2" t="s">
        <v>3</v>
      </c>
      <c r="G4" s="2" t="s">
        <v>333</v>
      </c>
      <c r="H4" s="19" t="s">
        <v>354</v>
      </c>
      <c r="I4" s="50">
        <v>46183</v>
      </c>
      <c r="J4" s="2">
        <v>32</v>
      </c>
      <c r="K4" s="2" t="s">
        <v>3</v>
      </c>
      <c r="L4" s="2" t="s">
        <v>333</v>
      </c>
      <c r="M4" s="2" t="s">
        <v>353</v>
      </c>
      <c r="N4" s="22" t="s">
        <v>76</v>
      </c>
      <c r="O4" s="1" t="s">
        <v>355</v>
      </c>
    </row>
    <row r="5" spans="2:16" x14ac:dyDescent="0.3">
      <c r="B5" s="1" t="s">
        <v>21</v>
      </c>
      <c r="C5" s="19" t="str">
        <f ca="1">VLOOKUP('บันทึกของเข้า-ออก'!B5,สรุป!C:E,3,0)</f>
        <v>ตัว</v>
      </c>
      <c r="D5" s="23">
        <v>46183</v>
      </c>
      <c r="E5" s="2">
        <v>50</v>
      </c>
      <c r="F5" s="2" t="s">
        <v>3</v>
      </c>
      <c r="G5" s="2" t="s">
        <v>333</v>
      </c>
      <c r="H5" s="19" t="s">
        <v>354</v>
      </c>
      <c r="I5" s="50">
        <v>46183</v>
      </c>
      <c r="J5" s="2">
        <v>50</v>
      </c>
      <c r="K5" s="2" t="s">
        <v>3</v>
      </c>
      <c r="L5" s="2" t="s">
        <v>333</v>
      </c>
      <c r="M5" s="2" t="s">
        <v>353</v>
      </c>
      <c r="N5" s="22" t="s">
        <v>76</v>
      </c>
      <c r="O5" s="1" t="s">
        <v>355</v>
      </c>
    </row>
    <row r="6" spans="2:16" x14ac:dyDescent="0.3">
      <c r="B6" s="1" t="s">
        <v>356</v>
      </c>
      <c r="C6" s="19" t="str">
        <f ca="1">VLOOKUP('บันทึกของเข้า-ออก'!B6,สรุป!C:E,3,0)</f>
        <v>ใบ</v>
      </c>
      <c r="D6" s="23">
        <v>46184</v>
      </c>
      <c r="E6" s="2"/>
      <c r="F6" s="2"/>
      <c r="G6" s="2"/>
      <c r="H6" s="19"/>
      <c r="I6" s="50">
        <v>46183</v>
      </c>
      <c r="J6" s="2">
        <v>1</v>
      </c>
      <c r="K6" s="2"/>
      <c r="L6" s="2" t="s">
        <v>3</v>
      </c>
      <c r="M6" s="2" t="s">
        <v>358</v>
      </c>
      <c r="N6" s="22" t="s">
        <v>76</v>
      </c>
      <c r="O6" s="1" t="s">
        <v>359</v>
      </c>
    </row>
    <row r="7" spans="2:16" x14ac:dyDescent="0.3">
      <c r="B7" s="1" t="s">
        <v>151</v>
      </c>
      <c r="C7" s="19" t="str">
        <f ca="1">VLOOKUP('บันทึกของเข้า-ออก'!B7,สรุป!C:E,3,0)</f>
        <v>ตัว</v>
      </c>
      <c r="D7" s="23">
        <v>46184</v>
      </c>
      <c r="E7" s="2">
        <v>45</v>
      </c>
      <c r="F7" s="2" t="s">
        <v>329</v>
      </c>
      <c r="G7" s="2" t="s">
        <v>105</v>
      </c>
      <c r="H7" s="19" t="s">
        <v>354</v>
      </c>
      <c r="I7" s="50">
        <v>46184</v>
      </c>
      <c r="J7" s="2">
        <v>45</v>
      </c>
      <c r="K7" s="2" t="s">
        <v>329</v>
      </c>
      <c r="L7" s="2" t="s">
        <v>105</v>
      </c>
      <c r="M7" s="2" t="s">
        <v>358</v>
      </c>
      <c r="N7" s="22" t="s">
        <v>76</v>
      </c>
      <c r="O7" s="1" t="s">
        <v>360</v>
      </c>
    </row>
    <row r="8" spans="2:16" x14ac:dyDescent="0.3">
      <c r="B8" s="1" t="s">
        <v>152</v>
      </c>
      <c r="C8" s="19" t="str">
        <f ca="1">VLOOKUP('บันทึกของเข้า-ออก'!B8,สรุป!C:E,3,0)</f>
        <v>ตัว</v>
      </c>
      <c r="D8" s="23">
        <v>46184</v>
      </c>
      <c r="E8" s="2">
        <v>17</v>
      </c>
      <c r="F8" s="2" t="s">
        <v>329</v>
      </c>
      <c r="G8" s="2" t="s">
        <v>105</v>
      </c>
      <c r="H8" s="19" t="s">
        <v>354</v>
      </c>
      <c r="I8" s="50">
        <v>46184</v>
      </c>
      <c r="J8" s="2">
        <v>17</v>
      </c>
      <c r="K8" s="2" t="s">
        <v>329</v>
      </c>
      <c r="L8" s="2" t="s">
        <v>105</v>
      </c>
      <c r="M8" s="2" t="s">
        <v>358</v>
      </c>
      <c r="N8" s="22" t="s">
        <v>76</v>
      </c>
      <c r="O8" s="1" t="s">
        <v>360</v>
      </c>
    </row>
    <row r="9" spans="2:16" x14ac:dyDescent="0.3">
      <c r="B9" s="1" t="s">
        <v>32</v>
      </c>
      <c r="C9" s="19" t="str">
        <f ca="1">VLOOKUP('บันทึกของเข้า-ออก'!B9,สรุป!C:E,3,0)</f>
        <v>เส้น</v>
      </c>
      <c r="D9" s="23">
        <v>46184</v>
      </c>
      <c r="E9" s="2">
        <v>160</v>
      </c>
      <c r="F9" s="2" t="s">
        <v>329</v>
      </c>
      <c r="G9" s="2" t="s">
        <v>105</v>
      </c>
      <c r="H9" s="19" t="s">
        <v>354</v>
      </c>
      <c r="I9" s="50">
        <v>46184</v>
      </c>
      <c r="J9" s="2">
        <v>160</v>
      </c>
      <c r="K9" s="2" t="s">
        <v>329</v>
      </c>
      <c r="L9" s="2" t="s">
        <v>105</v>
      </c>
      <c r="M9" s="2" t="s">
        <v>358</v>
      </c>
      <c r="N9" s="22" t="s">
        <v>76</v>
      </c>
      <c r="O9" s="1" t="s">
        <v>360</v>
      </c>
    </row>
    <row r="10" spans="2:16" x14ac:dyDescent="0.3">
      <c r="B10" s="1" t="s">
        <v>160</v>
      </c>
      <c r="C10" s="19" t="str">
        <f ca="1">VLOOKUP('บันทึกของเข้า-ออก'!B10,สรุป!C:E,3,0)</f>
        <v>เส้น</v>
      </c>
      <c r="D10" s="23">
        <v>46184</v>
      </c>
      <c r="E10" s="2">
        <v>12</v>
      </c>
      <c r="F10" s="2" t="s">
        <v>329</v>
      </c>
      <c r="G10" s="2" t="s">
        <v>105</v>
      </c>
      <c r="H10" s="19" t="s">
        <v>354</v>
      </c>
      <c r="I10" s="50">
        <v>46184</v>
      </c>
      <c r="J10" s="2">
        <v>12</v>
      </c>
      <c r="K10" s="2" t="s">
        <v>329</v>
      </c>
      <c r="L10" s="2" t="s">
        <v>105</v>
      </c>
      <c r="M10" s="2" t="s">
        <v>358</v>
      </c>
      <c r="N10" s="22" t="s">
        <v>76</v>
      </c>
      <c r="O10" s="1" t="s">
        <v>360</v>
      </c>
    </row>
    <row r="11" spans="2:16" x14ac:dyDescent="0.3">
      <c r="B11" s="1" t="s">
        <v>25</v>
      </c>
      <c r="C11" s="19" t="str">
        <f ca="1">VLOOKUP('บันทึกของเข้า-ออก'!B11,สรุป!C:E,3,0)</f>
        <v>แผ่น</v>
      </c>
      <c r="D11" s="23">
        <v>46184</v>
      </c>
      <c r="E11" s="2">
        <v>60</v>
      </c>
      <c r="F11" s="2" t="s">
        <v>329</v>
      </c>
      <c r="G11" s="2" t="s">
        <v>105</v>
      </c>
      <c r="H11" s="19" t="s">
        <v>354</v>
      </c>
      <c r="I11" s="50">
        <v>46184</v>
      </c>
      <c r="J11" s="2">
        <v>60</v>
      </c>
      <c r="K11" s="2" t="s">
        <v>329</v>
      </c>
      <c r="L11" s="2" t="s">
        <v>105</v>
      </c>
      <c r="M11" s="2" t="s">
        <v>358</v>
      </c>
      <c r="N11" s="22" t="s">
        <v>76</v>
      </c>
      <c r="O11" s="1" t="s">
        <v>360</v>
      </c>
    </row>
    <row r="12" spans="2:16" x14ac:dyDescent="0.3">
      <c r="B12" s="1" t="s">
        <v>200</v>
      </c>
      <c r="C12" s="19" t="str">
        <f ca="1">VLOOKUP('บันทึกของเข้า-ออก'!B12,สรุป!C:E,3,0)</f>
        <v>แผ่น</v>
      </c>
      <c r="D12" s="23">
        <v>46184</v>
      </c>
      <c r="E12" s="2">
        <v>20</v>
      </c>
      <c r="F12" s="2" t="s">
        <v>329</v>
      </c>
      <c r="G12" s="2" t="s">
        <v>105</v>
      </c>
      <c r="H12" s="19" t="s">
        <v>354</v>
      </c>
      <c r="I12" s="50">
        <v>46184</v>
      </c>
      <c r="J12" s="2">
        <v>20</v>
      </c>
      <c r="K12" s="2" t="s">
        <v>329</v>
      </c>
      <c r="L12" s="2" t="s">
        <v>105</v>
      </c>
      <c r="M12" s="2" t="s">
        <v>358</v>
      </c>
      <c r="N12" s="22" t="s">
        <v>76</v>
      </c>
      <c r="O12" s="1" t="s">
        <v>360</v>
      </c>
    </row>
    <row r="13" spans="2:16" x14ac:dyDescent="0.3">
      <c r="B13" s="1" t="s">
        <v>190</v>
      </c>
      <c r="C13" s="19" t="str">
        <f ca="1">VLOOKUP('บันทึกของเข้า-ออก'!B13,สรุป!C:E,3,0)</f>
        <v>แผ่น</v>
      </c>
      <c r="D13" s="23">
        <v>46184</v>
      </c>
      <c r="E13" s="2">
        <v>10</v>
      </c>
      <c r="F13" s="2" t="s">
        <v>329</v>
      </c>
      <c r="G13" s="2" t="s">
        <v>105</v>
      </c>
      <c r="H13" s="19" t="s">
        <v>354</v>
      </c>
      <c r="I13" s="50">
        <v>46184</v>
      </c>
      <c r="J13" s="2">
        <v>10</v>
      </c>
      <c r="K13" s="2" t="s">
        <v>329</v>
      </c>
      <c r="L13" s="2" t="s">
        <v>105</v>
      </c>
      <c r="M13" s="2" t="s">
        <v>358</v>
      </c>
      <c r="N13" s="22" t="s">
        <v>76</v>
      </c>
      <c r="O13" s="1" t="s">
        <v>360</v>
      </c>
    </row>
    <row r="14" spans="2:16" x14ac:dyDescent="0.3">
      <c r="B14" s="1" t="s">
        <v>19</v>
      </c>
      <c r="C14" s="19" t="str">
        <f ca="1">VLOOKUP('บันทึกของเข้า-ออก'!B14,สรุป!C:E,3,0)</f>
        <v>ขา</v>
      </c>
      <c r="D14" s="23">
        <v>46184</v>
      </c>
      <c r="E14" s="2">
        <v>17</v>
      </c>
      <c r="F14" s="2" t="s">
        <v>329</v>
      </c>
      <c r="G14" s="2" t="s">
        <v>105</v>
      </c>
      <c r="H14" s="19" t="s">
        <v>354</v>
      </c>
      <c r="I14" s="50">
        <v>46184</v>
      </c>
      <c r="J14" s="2">
        <v>17</v>
      </c>
      <c r="K14" s="2" t="s">
        <v>329</v>
      </c>
      <c r="L14" s="2" t="s">
        <v>105</v>
      </c>
      <c r="M14" s="2" t="s">
        <v>358</v>
      </c>
      <c r="N14" s="22" t="s">
        <v>76</v>
      </c>
      <c r="O14" s="1" t="s">
        <v>360</v>
      </c>
    </row>
    <row r="15" spans="2:16" x14ac:dyDescent="0.3">
      <c r="B15" s="1" t="s">
        <v>186</v>
      </c>
      <c r="C15" s="19" t="str">
        <f ca="1">VLOOKUP('บันทึกของเข้า-ออก'!B15,สรุป!C:E,3,0)</f>
        <v>คู่</v>
      </c>
      <c r="D15" s="23">
        <v>46184</v>
      </c>
      <c r="E15" s="2">
        <v>20</v>
      </c>
      <c r="F15" s="2" t="s">
        <v>329</v>
      </c>
      <c r="G15" s="2" t="s">
        <v>105</v>
      </c>
      <c r="H15" s="19" t="s">
        <v>354</v>
      </c>
      <c r="I15" s="50">
        <v>46184</v>
      </c>
      <c r="J15" s="2">
        <v>20</v>
      </c>
      <c r="K15" s="2" t="s">
        <v>329</v>
      </c>
      <c r="L15" s="2" t="s">
        <v>105</v>
      </c>
      <c r="M15" s="2" t="s">
        <v>358</v>
      </c>
      <c r="N15" s="22" t="s">
        <v>76</v>
      </c>
      <c r="O15" s="1" t="s">
        <v>360</v>
      </c>
    </row>
    <row r="16" spans="2:16" x14ac:dyDescent="0.3">
      <c r="B16" s="1" t="s">
        <v>40</v>
      </c>
      <c r="C16" s="19" t="str">
        <f ca="1">VLOOKUP('บันทึกของเข้า-ออก'!B16,สรุป!C:E,3,0)</f>
        <v>เส้น</v>
      </c>
      <c r="D16" s="23">
        <v>46184</v>
      </c>
      <c r="E16" s="2">
        <v>9</v>
      </c>
      <c r="F16" s="2" t="s">
        <v>329</v>
      </c>
      <c r="G16" s="2" t="s">
        <v>105</v>
      </c>
      <c r="H16" s="19" t="s">
        <v>354</v>
      </c>
      <c r="I16" s="50">
        <v>46184</v>
      </c>
      <c r="J16" s="2">
        <v>9</v>
      </c>
      <c r="K16" s="2" t="s">
        <v>329</v>
      </c>
      <c r="L16" s="2" t="s">
        <v>105</v>
      </c>
      <c r="M16" s="2" t="s">
        <v>358</v>
      </c>
      <c r="N16" s="22" t="s">
        <v>76</v>
      </c>
      <c r="O16" s="1" t="s">
        <v>360</v>
      </c>
    </row>
    <row r="17" spans="2:15" x14ac:dyDescent="0.3">
      <c r="B17" s="1" t="s">
        <v>362</v>
      </c>
      <c r="C17" s="19" t="str">
        <f ca="1">VLOOKUP('บันทึกของเข้า-ออก'!B17,สรุป!C:E,3,0)</f>
        <v>ชิ้น</v>
      </c>
      <c r="D17" s="23"/>
      <c r="E17" s="2"/>
      <c r="F17" s="2" t="s">
        <v>329</v>
      </c>
      <c r="G17" s="2" t="s">
        <v>105</v>
      </c>
      <c r="H17" s="19" t="s">
        <v>354</v>
      </c>
      <c r="I17" s="50">
        <v>46184</v>
      </c>
      <c r="J17" s="2">
        <v>9</v>
      </c>
      <c r="K17" s="2" t="s">
        <v>329</v>
      </c>
      <c r="L17" s="2" t="s">
        <v>105</v>
      </c>
      <c r="M17" s="2" t="s">
        <v>358</v>
      </c>
      <c r="N17" s="22" t="s">
        <v>76</v>
      </c>
      <c r="O17" s="1" t="s">
        <v>360</v>
      </c>
    </row>
    <row r="18" spans="2:15" x14ac:dyDescent="0.3">
      <c r="B18" s="1" t="s">
        <v>361</v>
      </c>
      <c r="C18" s="19" t="str">
        <f ca="1">VLOOKUP('บันทึกของเข้า-ออก'!B18,สรุป!C:E,3,0)</f>
        <v>ชิ้น</v>
      </c>
      <c r="D18" s="23"/>
      <c r="E18" s="2"/>
      <c r="F18" s="2" t="s">
        <v>329</v>
      </c>
      <c r="G18" s="2" t="s">
        <v>105</v>
      </c>
      <c r="H18" s="19" t="s">
        <v>354</v>
      </c>
      <c r="I18" s="50">
        <v>46184</v>
      </c>
      <c r="J18" s="2">
        <v>2</v>
      </c>
      <c r="K18" s="2" t="s">
        <v>329</v>
      </c>
      <c r="L18" s="2" t="s">
        <v>105</v>
      </c>
      <c r="M18" s="2" t="s">
        <v>358</v>
      </c>
      <c r="N18" s="22" t="s">
        <v>76</v>
      </c>
      <c r="O18" s="1" t="s">
        <v>360</v>
      </c>
    </row>
    <row r="19" spans="2:15" x14ac:dyDescent="0.3">
      <c r="B19" s="1" t="s">
        <v>341</v>
      </c>
      <c r="C19" s="19" t="str">
        <f ca="1">VLOOKUP('บันทึกของเข้า-ออก'!B19,สรุป!C:E,3,0)</f>
        <v>อัน</v>
      </c>
      <c r="D19" s="23"/>
      <c r="E19" s="2"/>
      <c r="F19" s="2" t="s">
        <v>136</v>
      </c>
      <c r="G19" s="2" t="s">
        <v>329</v>
      </c>
      <c r="H19" s="19" t="s">
        <v>364</v>
      </c>
      <c r="I19" s="50">
        <v>46185</v>
      </c>
      <c r="J19" s="2">
        <v>4</v>
      </c>
      <c r="K19" s="2" t="s">
        <v>136</v>
      </c>
      <c r="L19" s="2" t="s">
        <v>329</v>
      </c>
      <c r="M19" s="2" t="s">
        <v>365</v>
      </c>
      <c r="N19" s="22" t="s">
        <v>76</v>
      </c>
      <c r="O19" s="1" t="s">
        <v>366</v>
      </c>
    </row>
    <row r="20" spans="2:15" x14ac:dyDescent="0.3">
      <c r="B20" s="1" t="s">
        <v>225</v>
      </c>
      <c r="C20" s="19" t="str">
        <f ca="1">VLOOKUP('บันทึกของเข้า-ออก'!B20,สรุป!C:E,3,0)</f>
        <v>ตัว</v>
      </c>
      <c r="D20" s="23"/>
      <c r="E20" s="2"/>
      <c r="F20" s="2" t="s">
        <v>136</v>
      </c>
      <c r="G20" s="2" t="s">
        <v>329</v>
      </c>
      <c r="H20" s="19" t="s">
        <v>364</v>
      </c>
      <c r="I20" s="50">
        <v>46185</v>
      </c>
      <c r="J20" s="2">
        <v>4</v>
      </c>
      <c r="K20" s="2" t="s">
        <v>136</v>
      </c>
      <c r="L20" s="2" t="s">
        <v>329</v>
      </c>
      <c r="M20" s="2" t="s">
        <v>365</v>
      </c>
      <c r="N20" s="22" t="s">
        <v>76</v>
      </c>
      <c r="O20" s="1" t="s">
        <v>366</v>
      </c>
    </row>
    <row r="21" spans="2:15" x14ac:dyDescent="0.3">
      <c r="B21" s="1" t="s">
        <v>330</v>
      </c>
      <c r="C21" s="19" t="str">
        <f ca="1">VLOOKUP('บันทึกของเข้า-ออก'!B21,สรุป!C:E,3,0)</f>
        <v>ตัว</v>
      </c>
      <c r="D21" s="23"/>
      <c r="E21" s="2"/>
      <c r="F21" s="2" t="s">
        <v>5</v>
      </c>
      <c r="G21" s="2" t="s">
        <v>329</v>
      </c>
      <c r="H21" s="19" t="s">
        <v>364</v>
      </c>
      <c r="I21" s="50">
        <v>46185</v>
      </c>
      <c r="J21" s="2">
        <v>20</v>
      </c>
      <c r="K21" s="2" t="s">
        <v>5</v>
      </c>
      <c r="L21" s="2" t="s">
        <v>329</v>
      </c>
      <c r="M21" s="2" t="s">
        <v>365</v>
      </c>
      <c r="N21" s="22" t="s">
        <v>76</v>
      </c>
      <c r="O21" s="1"/>
    </row>
    <row r="22" spans="2:15" x14ac:dyDescent="0.3">
      <c r="B22" s="1" t="s">
        <v>186</v>
      </c>
      <c r="C22" s="19" t="str">
        <f ca="1">VLOOKUP('บันทึกของเข้า-ออก'!B22,สรุป!C:E,3,0)</f>
        <v>คู่</v>
      </c>
      <c r="D22" s="23"/>
      <c r="E22" s="2"/>
      <c r="F22" s="2" t="s">
        <v>5</v>
      </c>
      <c r="G22" s="2" t="s">
        <v>329</v>
      </c>
      <c r="H22" s="19" t="s">
        <v>364</v>
      </c>
      <c r="I22" s="50">
        <v>46185</v>
      </c>
      <c r="J22" s="2">
        <v>20</v>
      </c>
      <c r="K22" s="2" t="s">
        <v>5</v>
      </c>
      <c r="L22" s="2" t="s">
        <v>329</v>
      </c>
      <c r="M22" s="2" t="s">
        <v>365</v>
      </c>
      <c r="N22" s="22" t="s">
        <v>76</v>
      </c>
      <c r="O22" s="1"/>
    </row>
    <row r="23" spans="2:15" x14ac:dyDescent="0.3">
      <c r="B23" s="1" t="s">
        <v>20</v>
      </c>
      <c r="C23" s="19" t="str">
        <f ca="1">VLOOKUP('บันทึกของเข้า-ออก'!B23,สรุป!C:E,3,0)</f>
        <v>ตัว</v>
      </c>
      <c r="D23" s="23"/>
      <c r="E23" s="2"/>
      <c r="F23" s="2" t="s">
        <v>5</v>
      </c>
      <c r="G23" s="2" t="s">
        <v>329</v>
      </c>
      <c r="H23" s="19" t="s">
        <v>364</v>
      </c>
      <c r="I23" s="50">
        <v>46185</v>
      </c>
      <c r="J23" s="2">
        <v>40</v>
      </c>
      <c r="K23" s="2" t="s">
        <v>5</v>
      </c>
      <c r="L23" s="2" t="s">
        <v>329</v>
      </c>
      <c r="M23" s="2" t="s">
        <v>365</v>
      </c>
      <c r="N23" s="22" t="s">
        <v>76</v>
      </c>
      <c r="O23" s="1"/>
    </row>
    <row r="24" spans="2:15" x14ac:dyDescent="0.3">
      <c r="B24" s="1" t="s">
        <v>36</v>
      </c>
      <c r="C24" s="19" t="str">
        <f ca="1">VLOOKUP('บันทึกของเข้า-ออก'!B24,สรุป!C:E,3,0)</f>
        <v>เส้น</v>
      </c>
      <c r="D24" s="23">
        <v>46186</v>
      </c>
      <c r="E24" s="2">
        <v>14</v>
      </c>
      <c r="F24" s="2" t="s">
        <v>288</v>
      </c>
      <c r="G24" s="2" t="s">
        <v>333</v>
      </c>
      <c r="H24" s="19" t="s">
        <v>367</v>
      </c>
      <c r="I24" s="50">
        <v>46186</v>
      </c>
      <c r="J24" s="2">
        <v>14</v>
      </c>
      <c r="K24" s="2" t="s">
        <v>288</v>
      </c>
      <c r="L24" s="2" t="s">
        <v>333</v>
      </c>
      <c r="M24" s="2" t="s">
        <v>358</v>
      </c>
      <c r="N24" s="22" t="s">
        <v>76</v>
      </c>
      <c r="O24" s="1"/>
    </row>
    <row r="25" spans="2:15" x14ac:dyDescent="0.3">
      <c r="B25" s="1" t="s">
        <v>109</v>
      </c>
      <c r="C25" s="19" t="str">
        <f ca="1">VLOOKUP('บันทึกของเข้า-ออก'!B25,สรุป!C:E,3,0)</f>
        <v>เส้น</v>
      </c>
      <c r="D25" s="23">
        <v>46186</v>
      </c>
      <c r="E25" s="2">
        <v>14</v>
      </c>
      <c r="F25" s="2" t="s">
        <v>288</v>
      </c>
      <c r="G25" s="2" t="s">
        <v>333</v>
      </c>
      <c r="H25" s="19" t="s">
        <v>367</v>
      </c>
      <c r="I25" s="50">
        <v>46186</v>
      </c>
      <c r="J25" s="2">
        <v>14</v>
      </c>
      <c r="K25" s="2" t="s">
        <v>288</v>
      </c>
      <c r="L25" s="2" t="s">
        <v>333</v>
      </c>
      <c r="M25" s="2" t="s">
        <v>358</v>
      </c>
      <c r="N25" s="22" t="s">
        <v>76</v>
      </c>
      <c r="O25" s="1"/>
    </row>
    <row r="26" spans="2:15" x14ac:dyDescent="0.3">
      <c r="B26" s="1" t="s">
        <v>40</v>
      </c>
      <c r="C26" s="19" t="str">
        <f ca="1">VLOOKUP('บันทึกของเข้า-ออก'!B26,สรุป!C:E,3,0)</f>
        <v>เส้น</v>
      </c>
      <c r="D26" s="23">
        <v>46186</v>
      </c>
      <c r="E26" s="2">
        <v>18</v>
      </c>
      <c r="F26" s="2" t="s">
        <v>288</v>
      </c>
      <c r="G26" s="2" t="s">
        <v>333</v>
      </c>
      <c r="H26" s="19" t="s">
        <v>367</v>
      </c>
      <c r="I26" s="50">
        <v>46186</v>
      </c>
      <c r="J26" s="2">
        <v>18</v>
      </c>
      <c r="K26" s="2" t="s">
        <v>288</v>
      </c>
      <c r="L26" s="2" t="s">
        <v>333</v>
      </c>
      <c r="M26" s="2" t="s">
        <v>358</v>
      </c>
      <c r="N26" s="22" t="s">
        <v>76</v>
      </c>
      <c r="O26" s="1"/>
    </row>
    <row r="27" spans="2:15" x14ac:dyDescent="0.3">
      <c r="B27" s="1" t="s">
        <v>35</v>
      </c>
      <c r="C27" s="19" t="str">
        <f ca="1">VLOOKUP('บันทึกของเข้า-ออก'!B27,สรุป!C:E,3,0)</f>
        <v>เส้น</v>
      </c>
      <c r="D27" s="23">
        <v>46186</v>
      </c>
      <c r="E27" s="2">
        <v>49</v>
      </c>
      <c r="F27" s="2" t="s">
        <v>288</v>
      </c>
      <c r="G27" s="2" t="s">
        <v>333</v>
      </c>
      <c r="H27" s="19" t="s">
        <v>367</v>
      </c>
      <c r="I27" s="50">
        <v>46186</v>
      </c>
      <c r="J27" s="2">
        <v>49</v>
      </c>
      <c r="K27" s="2" t="s">
        <v>288</v>
      </c>
      <c r="L27" s="2" t="s">
        <v>333</v>
      </c>
      <c r="M27" s="2" t="s">
        <v>358</v>
      </c>
      <c r="N27" s="22" t="s">
        <v>76</v>
      </c>
      <c r="O27" s="1"/>
    </row>
    <row r="28" spans="2:15" x14ac:dyDescent="0.3">
      <c r="B28" s="1" t="s">
        <v>94</v>
      </c>
      <c r="C28" s="19" t="str">
        <f ca="1">VLOOKUP('บันทึกของเข้า-ออก'!B28,สรุป!C:E,3,0)</f>
        <v>เส้น</v>
      </c>
      <c r="D28" s="23">
        <v>46186</v>
      </c>
      <c r="E28" s="2">
        <v>38</v>
      </c>
      <c r="F28" s="2" t="s">
        <v>288</v>
      </c>
      <c r="G28" s="2" t="s">
        <v>333</v>
      </c>
      <c r="H28" s="19" t="s">
        <v>367</v>
      </c>
      <c r="I28" s="50">
        <v>46186</v>
      </c>
      <c r="J28" s="2">
        <v>38</v>
      </c>
      <c r="K28" s="2" t="s">
        <v>288</v>
      </c>
      <c r="L28" s="2" t="s">
        <v>333</v>
      </c>
      <c r="M28" s="2" t="s">
        <v>358</v>
      </c>
      <c r="N28" s="22" t="s">
        <v>76</v>
      </c>
      <c r="O28" s="1"/>
    </row>
    <row r="29" spans="2:15" x14ac:dyDescent="0.3">
      <c r="B29" s="1" t="s">
        <v>19</v>
      </c>
      <c r="C29" s="19" t="str">
        <f ca="1">VLOOKUP('บันทึกของเข้า-ออก'!B29,สรุป!C:E,3,0)</f>
        <v>ขา</v>
      </c>
      <c r="D29" s="23">
        <v>46186</v>
      </c>
      <c r="E29" s="2">
        <v>40</v>
      </c>
      <c r="F29" s="2" t="s">
        <v>288</v>
      </c>
      <c r="G29" s="2" t="s">
        <v>333</v>
      </c>
      <c r="H29" s="19" t="s">
        <v>367</v>
      </c>
      <c r="I29" s="50">
        <v>46186</v>
      </c>
      <c r="J29" s="2">
        <v>40</v>
      </c>
      <c r="K29" s="2" t="s">
        <v>288</v>
      </c>
      <c r="L29" s="2" t="s">
        <v>333</v>
      </c>
      <c r="M29" s="2" t="s">
        <v>358</v>
      </c>
      <c r="N29" s="22" t="s">
        <v>76</v>
      </c>
      <c r="O29" s="1"/>
    </row>
    <row r="30" spans="2:15" x14ac:dyDescent="0.3">
      <c r="B30" s="1" t="s">
        <v>187</v>
      </c>
      <c r="C30" s="19" t="str">
        <f ca="1">VLOOKUP('บันทึกของเข้า-ออก'!B30,สรุป!C:E,3,0)</f>
        <v>คู่</v>
      </c>
      <c r="D30" s="23">
        <v>46186</v>
      </c>
      <c r="E30" s="2">
        <v>80</v>
      </c>
      <c r="F30" s="2" t="s">
        <v>288</v>
      </c>
      <c r="G30" s="2" t="s">
        <v>333</v>
      </c>
      <c r="H30" s="19" t="s">
        <v>367</v>
      </c>
      <c r="I30" s="50">
        <v>46186</v>
      </c>
      <c r="J30" s="2">
        <v>80</v>
      </c>
      <c r="K30" s="2" t="s">
        <v>288</v>
      </c>
      <c r="L30" s="2" t="s">
        <v>333</v>
      </c>
      <c r="M30" s="2" t="s">
        <v>358</v>
      </c>
      <c r="N30" s="22" t="s">
        <v>76</v>
      </c>
      <c r="O30" s="1"/>
    </row>
    <row r="31" spans="2:15" x14ac:dyDescent="0.3">
      <c r="B31" s="1" t="s">
        <v>22</v>
      </c>
      <c r="C31" s="19" t="str">
        <f ca="1">VLOOKUP('บันทึกของเข้า-ออก'!B31,สรุป!C:E,3,0)</f>
        <v>ตัว</v>
      </c>
      <c r="D31" s="23">
        <v>46186</v>
      </c>
      <c r="E31" s="2">
        <v>28</v>
      </c>
      <c r="F31" s="2" t="s">
        <v>288</v>
      </c>
      <c r="G31" s="2" t="s">
        <v>333</v>
      </c>
      <c r="H31" s="19" t="s">
        <v>367</v>
      </c>
      <c r="I31" s="50">
        <v>46186</v>
      </c>
      <c r="J31" s="2">
        <v>28</v>
      </c>
      <c r="K31" s="2" t="s">
        <v>288</v>
      </c>
      <c r="L31" s="2" t="s">
        <v>333</v>
      </c>
      <c r="M31" s="2" t="s">
        <v>358</v>
      </c>
      <c r="N31" s="22" t="s">
        <v>76</v>
      </c>
      <c r="O31" s="1"/>
    </row>
    <row r="32" spans="2:15" x14ac:dyDescent="0.3">
      <c r="B32" s="1" t="s">
        <v>21</v>
      </c>
      <c r="C32" s="19" t="str">
        <f ca="1">VLOOKUP('บันทึกของเข้า-ออก'!B32,สรุป!C:E,3,0)</f>
        <v>ตัว</v>
      </c>
      <c r="D32" s="23">
        <v>46186</v>
      </c>
      <c r="E32" s="2">
        <v>169</v>
      </c>
      <c r="F32" s="2" t="s">
        <v>288</v>
      </c>
      <c r="G32" s="2" t="s">
        <v>333</v>
      </c>
      <c r="H32" s="19" t="s">
        <v>367</v>
      </c>
      <c r="I32" s="50">
        <v>46186</v>
      </c>
      <c r="J32" s="2">
        <v>169</v>
      </c>
      <c r="K32" s="2" t="s">
        <v>288</v>
      </c>
      <c r="L32" s="2" t="s">
        <v>333</v>
      </c>
      <c r="M32" s="2" t="s">
        <v>358</v>
      </c>
      <c r="N32" s="22" t="s">
        <v>76</v>
      </c>
      <c r="O32" s="1"/>
    </row>
    <row r="33" spans="2:15" x14ac:dyDescent="0.3">
      <c r="B33" s="1" t="s">
        <v>39</v>
      </c>
      <c r="C33" s="19" t="str">
        <f ca="1">VLOOKUP('บันทึกของเข้า-ออก'!B33,สรุป!C:E,3,0)</f>
        <v>เส้น</v>
      </c>
      <c r="D33" s="23">
        <v>46186</v>
      </c>
      <c r="E33" s="2">
        <v>7</v>
      </c>
      <c r="F33" s="2" t="s">
        <v>288</v>
      </c>
      <c r="G33" s="2" t="s">
        <v>333</v>
      </c>
      <c r="H33" s="19" t="s">
        <v>367</v>
      </c>
      <c r="I33" s="50">
        <v>46186</v>
      </c>
      <c r="J33" s="2">
        <v>7</v>
      </c>
      <c r="K33" s="2" t="s">
        <v>288</v>
      </c>
      <c r="L33" s="2" t="s">
        <v>333</v>
      </c>
      <c r="M33" s="2" t="s">
        <v>358</v>
      </c>
      <c r="N33" s="22" t="s">
        <v>76</v>
      </c>
      <c r="O33" s="1"/>
    </row>
    <row r="34" spans="2:15" x14ac:dyDescent="0.3">
      <c r="B34" s="1" t="s">
        <v>20</v>
      </c>
      <c r="C34" s="19" t="str">
        <f ca="1">VLOOKUP('บันทึกของเข้า-ออก'!B34,สรุป!C:E,3,0)</f>
        <v>ตัว</v>
      </c>
      <c r="D34" s="23">
        <v>46186</v>
      </c>
      <c r="E34" s="2">
        <v>132</v>
      </c>
      <c r="F34" s="2" t="s">
        <v>288</v>
      </c>
      <c r="G34" s="2" t="s">
        <v>333</v>
      </c>
      <c r="H34" s="19" t="s">
        <v>367</v>
      </c>
      <c r="I34" s="50">
        <v>46186</v>
      </c>
      <c r="J34" s="2">
        <v>132</v>
      </c>
      <c r="K34" s="2" t="s">
        <v>288</v>
      </c>
      <c r="L34" s="2" t="s">
        <v>333</v>
      </c>
      <c r="M34" s="2" t="s">
        <v>358</v>
      </c>
      <c r="N34" s="22" t="s">
        <v>76</v>
      </c>
      <c r="O34" s="1"/>
    </row>
    <row r="35" spans="2:15" x14ac:dyDescent="0.3">
      <c r="B35" s="87" t="s">
        <v>23</v>
      </c>
      <c r="C35" s="19" t="str">
        <f ca="1">VLOOKUP('บันทึกของเข้า-ออก'!B35,สรุป!C:E,3,0)</f>
        <v>ตัว</v>
      </c>
      <c r="D35" s="23">
        <v>46186</v>
      </c>
      <c r="E35" s="2">
        <v>50</v>
      </c>
      <c r="F35" s="2" t="s">
        <v>288</v>
      </c>
      <c r="G35" s="2" t="s">
        <v>333</v>
      </c>
      <c r="H35" s="19" t="s">
        <v>367</v>
      </c>
      <c r="I35" s="50">
        <v>46186</v>
      </c>
      <c r="J35" s="2">
        <v>50</v>
      </c>
      <c r="K35" s="2" t="s">
        <v>288</v>
      </c>
      <c r="L35" s="2" t="s">
        <v>333</v>
      </c>
      <c r="M35" s="2" t="s">
        <v>358</v>
      </c>
      <c r="N35" s="22" t="s">
        <v>76</v>
      </c>
      <c r="O35" s="1"/>
    </row>
    <row r="36" spans="2:15" x14ac:dyDescent="0.3">
      <c r="B36" s="1" t="s">
        <v>121</v>
      </c>
      <c r="C36" s="19" t="str">
        <f ca="1">VLOOKUP('บันทึกของเข้า-ออก'!B36,สรุป!C:E,3,0)</f>
        <v>เส้น</v>
      </c>
      <c r="D36" s="23">
        <v>46186</v>
      </c>
      <c r="E36" s="2">
        <v>6</v>
      </c>
      <c r="F36" s="2" t="s">
        <v>288</v>
      </c>
      <c r="G36" s="2" t="s">
        <v>333</v>
      </c>
      <c r="H36" s="19" t="s">
        <v>367</v>
      </c>
      <c r="I36" s="50">
        <v>46186</v>
      </c>
      <c r="J36" s="2">
        <v>6</v>
      </c>
      <c r="K36" s="2" t="s">
        <v>288</v>
      </c>
      <c r="L36" s="2" t="s">
        <v>333</v>
      </c>
      <c r="M36" s="2" t="s">
        <v>358</v>
      </c>
      <c r="N36" s="22" t="s">
        <v>76</v>
      </c>
      <c r="O36" s="1"/>
    </row>
    <row r="37" spans="2:15" x14ac:dyDescent="0.3">
      <c r="B37" s="1" t="s">
        <v>18</v>
      </c>
      <c r="C37" s="19" t="str">
        <f ca="1">VLOOKUP('บันทึกของเข้า-ออก'!B37,สรุป!C:E,3,0)</f>
        <v>ขา</v>
      </c>
      <c r="D37" s="23">
        <v>46186</v>
      </c>
      <c r="E37" s="2">
        <v>31</v>
      </c>
      <c r="F37" s="2" t="s">
        <v>3</v>
      </c>
      <c r="G37" s="2" t="s">
        <v>333</v>
      </c>
      <c r="H37" s="19" t="s">
        <v>354</v>
      </c>
      <c r="I37" s="50">
        <v>46186</v>
      </c>
      <c r="J37" s="2">
        <v>31</v>
      </c>
      <c r="K37" s="2" t="s">
        <v>3</v>
      </c>
      <c r="L37" s="2" t="s">
        <v>333</v>
      </c>
      <c r="M37" s="2" t="s">
        <v>358</v>
      </c>
      <c r="N37" s="22" t="s">
        <v>76</v>
      </c>
      <c r="O37" s="1"/>
    </row>
    <row r="38" spans="2:15" x14ac:dyDescent="0.3">
      <c r="B38" s="1" t="s">
        <v>186</v>
      </c>
      <c r="C38" s="19" t="str">
        <f ca="1">VLOOKUP('บันทึกของเข้า-ออก'!B38,สรุป!C:E,3,0)</f>
        <v>คู่</v>
      </c>
      <c r="D38" s="23">
        <v>46186</v>
      </c>
      <c r="E38" s="2">
        <v>2</v>
      </c>
      <c r="F38" s="2" t="s">
        <v>3</v>
      </c>
      <c r="G38" s="2" t="s">
        <v>333</v>
      </c>
      <c r="H38" s="19" t="s">
        <v>354</v>
      </c>
      <c r="I38" s="50">
        <v>46186</v>
      </c>
      <c r="J38" s="2">
        <v>2</v>
      </c>
      <c r="K38" s="2" t="s">
        <v>3</v>
      </c>
      <c r="L38" s="2" t="s">
        <v>333</v>
      </c>
      <c r="M38" s="2" t="s">
        <v>358</v>
      </c>
      <c r="N38" s="22" t="s">
        <v>76</v>
      </c>
      <c r="O38" s="1"/>
    </row>
    <row r="39" spans="2:15" x14ac:dyDescent="0.3">
      <c r="B39" s="1" t="s">
        <v>151</v>
      </c>
      <c r="C39" s="19" t="str">
        <f ca="1">VLOOKUP('บันทึกของเข้า-ออก'!B39,สรุป!C:E,3,0)</f>
        <v>ตัว</v>
      </c>
      <c r="D39" s="23">
        <v>46186</v>
      </c>
      <c r="E39" s="2">
        <v>35</v>
      </c>
      <c r="F39" s="2" t="s">
        <v>3</v>
      </c>
      <c r="G39" s="2" t="s">
        <v>333</v>
      </c>
      <c r="H39" s="19" t="s">
        <v>354</v>
      </c>
      <c r="I39" s="50">
        <v>46186</v>
      </c>
      <c r="J39" s="2">
        <v>35</v>
      </c>
      <c r="K39" s="2" t="s">
        <v>3</v>
      </c>
      <c r="L39" s="2" t="s">
        <v>333</v>
      </c>
      <c r="M39" s="2" t="s">
        <v>358</v>
      </c>
      <c r="N39" s="22" t="s">
        <v>76</v>
      </c>
      <c r="O39" s="1"/>
    </row>
    <row r="40" spans="2:15" x14ac:dyDescent="0.3">
      <c r="B40" s="1" t="s">
        <v>228</v>
      </c>
      <c r="C40" s="19" t="str">
        <f ca="1">VLOOKUP('บันทึกของเข้า-ออก'!B40,สรุป!C:E,3,0)</f>
        <v>เส้น</v>
      </c>
      <c r="D40" s="23">
        <v>46186</v>
      </c>
      <c r="E40" s="2">
        <v>200</v>
      </c>
      <c r="F40" s="2" t="s">
        <v>288</v>
      </c>
      <c r="G40" s="2" t="s">
        <v>333</v>
      </c>
      <c r="H40" s="19" t="s">
        <v>367</v>
      </c>
      <c r="I40" s="50">
        <v>46186</v>
      </c>
      <c r="J40" s="2">
        <v>200</v>
      </c>
      <c r="K40" s="2" t="s">
        <v>288</v>
      </c>
      <c r="L40" s="2" t="s">
        <v>333</v>
      </c>
      <c r="M40" s="2" t="s">
        <v>358</v>
      </c>
      <c r="N40" s="22" t="s">
        <v>76</v>
      </c>
      <c r="O40" s="1"/>
    </row>
    <row r="41" spans="2:15" x14ac:dyDescent="0.3">
      <c r="B41" s="1" t="s">
        <v>368</v>
      </c>
      <c r="C41" s="19" t="str">
        <f ca="1">VLOOKUP('บันทึกของเข้า-ออก'!B41,สรุป!C:E,3,0)</f>
        <v>ถุง</v>
      </c>
      <c r="D41" s="23">
        <v>46186</v>
      </c>
      <c r="E41" s="2">
        <v>80</v>
      </c>
      <c r="F41" s="2" t="s">
        <v>288</v>
      </c>
      <c r="G41" s="2" t="s">
        <v>333</v>
      </c>
      <c r="H41" s="19" t="s">
        <v>367</v>
      </c>
      <c r="I41" s="50">
        <v>46186</v>
      </c>
      <c r="J41" s="2">
        <v>80</v>
      </c>
      <c r="K41" s="2" t="s">
        <v>288</v>
      </c>
      <c r="L41" s="2" t="s">
        <v>333</v>
      </c>
      <c r="M41" s="2" t="s">
        <v>358</v>
      </c>
      <c r="N41" s="22" t="s">
        <v>76</v>
      </c>
      <c r="O41" s="1"/>
    </row>
    <row r="42" spans="2:15" x14ac:dyDescent="0.3">
      <c r="B42" s="1" t="s">
        <v>187</v>
      </c>
      <c r="C42" s="19" t="str">
        <f ca="1">VLOOKUP('บันทึกของเข้า-ออก'!B42,สรุป!C:E,3,0)</f>
        <v>คู่</v>
      </c>
      <c r="D42" s="23"/>
      <c r="E42" s="2"/>
      <c r="F42" s="2"/>
      <c r="G42" s="2"/>
      <c r="H42" s="19"/>
      <c r="I42" s="50">
        <v>46188</v>
      </c>
      <c r="J42" s="2">
        <v>180</v>
      </c>
      <c r="K42" s="2"/>
      <c r="L42" s="2" t="s">
        <v>333</v>
      </c>
      <c r="M42" s="2" t="s">
        <v>358</v>
      </c>
      <c r="N42" s="22" t="s">
        <v>76</v>
      </c>
      <c r="O42" s="1" t="s">
        <v>370</v>
      </c>
    </row>
    <row r="43" spans="2:15" x14ac:dyDescent="0.3">
      <c r="B43" s="1" t="s">
        <v>22</v>
      </c>
      <c r="C43" s="19" t="str">
        <f ca="1">VLOOKUP('บันทึกของเข้า-ออก'!B43,สรุป!C:E,3,0)</f>
        <v>ตัว</v>
      </c>
      <c r="D43" s="23"/>
      <c r="E43" s="2"/>
      <c r="F43" s="2"/>
      <c r="G43" s="2"/>
      <c r="H43" s="19"/>
      <c r="I43" s="50">
        <v>46188</v>
      </c>
      <c r="J43" s="2">
        <v>150</v>
      </c>
      <c r="K43" s="2"/>
      <c r="L43" s="2" t="s">
        <v>333</v>
      </c>
      <c r="M43" s="2" t="s">
        <v>358</v>
      </c>
      <c r="N43" s="22" t="s">
        <v>76</v>
      </c>
      <c r="O43" s="1" t="s">
        <v>370</v>
      </c>
    </row>
    <row r="44" spans="2:15" x14ac:dyDescent="0.3">
      <c r="B44" s="1" t="s">
        <v>23</v>
      </c>
      <c r="C44" s="19" t="str">
        <f ca="1">VLOOKUP('บันทึกของเข้า-ออก'!B44,สรุป!C:E,3,0)</f>
        <v>ตัว</v>
      </c>
      <c r="D44" s="23">
        <v>46188</v>
      </c>
      <c r="E44" s="2">
        <v>263</v>
      </c>
      <c r="F44" s="2" t="s">
        <v>5</v>
      </c>
      <c r="G44" s="2" t="s">
        <v>333</v>
      </c>
      <c r="H44" s="19" t="s">
        <v>358</v>
      </c>
      <c r="I44" s="50">
        <v>46188</v>
      </c>
      <c r="J44" s="2">
        <v>263</v>
      </c>
      <c r="K44" s="2" t="s">
        <v>5</v>
      </c>
      <c r="L44" s="2" t="s">
        <v>333</v>
      </c>
      <c r="M44" s="2" t="s">
        <v>358</v>
      </c>
      <c r="N44" s="22" t="s">
        <v>76</v>
      </c>
      <c r="O44" s="1"/>
    </row>
    <row r="45" spans="2:15" x14ac:dyDescent="0.3">
      <c r="B45" s="1" t="s">
        <v>20</v>
      </c>
      <c r="C45" s="19" t="str">
        <f ca="1">VLOOKUP('บันทึกของเข้า-ออก'!B45,สรุป!C:E,3,0)</f>
        <v>ตัว</v>
      </c>
      <c r="D45" s="23">
        <v>46188</v>
      </c>
      <c r="E45" s="2">
        <v>60</v>
      </c>
      <c r="F45" s="2" t="s">
        <v>5</v>
      </c>
      <c r="G45" s="2" t="s">
        <v>333</v>
      </c>
      <c r="H45" s="19" t="s">
        <v>358</v>
      </c>
      <c r="I45" s="50">
        <v>46188</v>
      </c>
      <c r="J45" s="2">
        <v>60</v>
      </c>
      <c r="K45" s="2" t="s">
        <v>5</v>
      </c>
      <c r="L45" s="2" t="s">
        <v>333</v>
      </c>
      <c r="M45" s="2" t="s">
        <v>358</v>
      </c>
      <c r="N45" s="22" t="s">
        <v>76</v>
      </c>
      <c r="O45" s="1"/>
    </row>
    <row r="46" spans="2:15" x14ac:dyDescent="0.3">
      <c r="B46" s="1" t="s">
        <v>25</v>
      </c>
      <c r="C46" s="19" t="str">
        <f ca="1">VLOOKUP('บันทึกของเข้า-ออก'!B46,สรุป!C:E,3,0)</f>
        <v>แผ่น</v>
      </c>
      <c r="D46" s="23">
        <v>46188</v>
      </c>
      <c r="E46" s="2">
        <v>18</v>
      </c>
      <c r="F46" s="2" t="s">
        <v>5</v>
      </c>
      <c r="G46" s="2" t="s">
        <v>333</v>
      </c>
      <c r="H46" s="19" t="s">
        <v>354</v>
      </c>
      <c r="I46" s="50">
        <v>46188</v>
      </c>
      <c r="J46" s="2">
        <v>18</v>
      </c>
      <c r="K46" s="2" t="s">
        <v>5</v>
      </c>
      <c r="L46" s="2" t="s">
        <v>333</v>
      </c>
      <c r="M46" s="2" t="s">
        <v>358</v>
      </c>
      <c r="N46" s="22" t="s">
        <v>76</v>
      </c>
      <c r="O46" s="1"/>
    </row>
    <row r="47" spans="2:15" x14ac:dyDescent="0.3">
      <c r="B47" s="1" t="s">
        <v>34</v>
      </c>
      <c r="C47" s="19" t="str">
        <f ca="1">VLOOKUP('บันทึกของเข้า-ออก'!B47,สรุป!C:E,3,0)</f>
        <v>อัน</v>
      </c>
      <c r="D47" s="23">
        <v>46188</v>
      </c>
      <c r="E47" s="2">
        <v>2</v>
      </c>
      <c r="F47" s="2" t="s">
        <v>5</v>
      </c>
      <c r="G47" s="2" t="s">
        <v>333</v>
      </c>
      <c r="H47" s="19" t="s">
        <v>354</v>
      </c>
      <c r="I47" s="50">
        <v>46188</v>
      </c>
      <c r="J47" s="2">
        <v>2</v>
      </c>
      <c r="K47" s="2" t="s">
        <v>5</v>
      </c>
      <c r="L47" s="2" t="s">
        <v>333</v>
      </c>
      <c r="M47" s="2" t="s">
        <v>358</v>
      </c>
      <c r="N47" s="22" t="s">
        <v>76</v>
      </c>
      <c r="O47" s="1"/>
    </row>
    <row r="48" spans="2:15" x14ac:dyDescent="0.3">
      <c r="B48" s="1" t="s">
        <v>230</v>
      </c>
      <c r="C48" s="19" t="str">
        <f ca="1">VLOOKUP('บันทึกของเข้า-ออก'!B48,สรุป!C:E,3,0)</f>
        <v>ผืน</v>
      </c>
      <c r="D48" s="23">
        <v>46188</v>
      </c>
      <c r="E48" s="2">
        <v>8</v>
      </c>
      <c r="F48" s="2" t="s">
        <v>5</v>
      </c>
      <c r="G48" s="2" t="s">
        <v>333</v>
      </c>
      <c r="H48" s="19" t="s">
        <v>354</v>
      </c>
      <c r="I48" s="50">
        <v>46188</v>
      </c>
      <c r="J48" s="2">
        <v>8</v>
      </c>
      <c r="K48" s="2" t="s">
        <v>5</v>
      </c>
      <c r="L48" s="2" t="s">
        <v>333</v>
      </c>
      <c r="M48" s="2" t="s">
        <v>358</v>
      </c>
      <c r="N48" s="22" t="s">
        <v>76</v>
      </c>
      <c r="O48" s="1"/>
    </row>
    <row r="49" spans="2:15" x14ac:dyDescent="0.3">
      <c r="B49" s="1" t="s">
        <v>21</v>
      </c>
      <c r="C49" s="19" t="str">
        <f ca="1">VLOOKUP('บันทึกของเข้า-ออก'!B49,สรุป!C:E,3,0)</f>
        <v>ตัว</v>
      </c>
      <c r="D49" s="23">
        <v>46188</v>
      </c>
      <c r="E49" s="2">
        <v>65</v>
      </c>
      <c r="F49" s="2" t="s">
        <v>5</v>
      </c>
      <c r="G49" s="2" t="s">
        <v>333</v>
      </c>
      <c r="H49" s="19" t="s">
        <v>354</v>
      </c>
      <c r="I49" s="50">
        <v>46188</v>
      </c>
      <c r="J49" s="2">
        <v>65</v>
      </c>
      <c r="K49" s="2" t="s">
        <v>5</v>
      </c>
      <c r="L49" s="2" t="s">
        <v>333</v>
      </c>
      <c r="M49" s="2" t="s">
        <v>358</v>
      </c>
      <c r="N49" s="22" t="s">
        <v>76</v>
      </c>
      <c r="O49" s="1"/>
    </row>
    <row r="50" spans="2:15" x14ac:dyDescent="0.3">
      <c r="B50" s="1" t="s">
        <v>22</v>
      </c>
      <c r="C50" s="19" t="str">
        <f ca="1">VLOOKUP('บันทึกของเข้า-ออก'!B50,สรุป!C:E,3,0)</f>
        <v>ตัว</v>
      </c>
      <c r="D50" s="23">
        <v>46188</v>
      </c>
      <c r="E50" s="2">
        <v>12</v>
      </c>
      <c r="F50" s="2" t="s">
        <v>5</v>
      </c>
      <c r="G50" s="2" t="s">
        <v>333</v>
      </c>
      <c r="H50" s="19" t="s">
        <v>354</v>
      </c>
      <c r="I50" s="50">
        <v>46188</v>
      </c>
      <c r="J50" s="2">
        <v>12</v>
      </c>
      <c r="K50" s="2" t="s">
        <v>5</v>
      </c>
      <c r="L50" s="2" t="s">
        <v>333</v>
      </c>
      <c r="M50" s="2" t="s">
        <v>358</v>
      </c>
      <c r="N50" s="22" t="s">
        <v>76</v>
      </c>
      <c r="O50" s="1"/>
    </row>
    <row r="51" spans="2:15" x14ac:dyDescent="0.3">
      <c r="B51" s="1" t="s">
        <v>297</v>
      </c>
      <c r="C51" s="19" t="str">
        <f ca="1">VLOOKUP('บันทึกของเข้า-ออก'!B51,สรุป!C:E,3,0)</f>
        <v>แผ่น</v>
      </c>
      <c r="D51" s="23">
        <v>46188</v>
      </c>
      <c r="E51" s="2">
        <v>1</v>
      </c>
      <c r="F51" s="2" t="s">
        <v>5</v>
      </c>
      <c r="G51" s="2" t="s">
        <v>333</v>
      </c>
      <c r="H51" s="19" t="s">
        <v>354</v>
      </c>
      <c r="I51" s="50">
        <v>46188</v>
      </c>
      <c r="J51" s="2">
        <v>1</v>
      </c>
      <c r="K51" s="2" t="s">
        <v>5</v>
      </c>
      <c r="L51" s="2" t="s">
        <v>333</v>
      </c>
      <c r="M51" s="2" t="s">
        <v>358</v>
      </c>
      <c r="N51" s="22" t="s">
        <v>76</v>
      </c>
      <c r="O51" s="1"/>
    </row>
    <row r="52" spans="2:15" x14ac:dyDescent="0.3">
      <c r="B52" s="1" t="s">
        <v>35</v>
      </c>
      <c r="C52" s="19" t="str">
        <f ca="1">VLOOKUP('บันทึกของเข้า-ออก'!B52,สรุป!C:E,3,0)</f>
        <v>เส้น</v>
      </c>
      <c r="D52" s="23">
        <v>46188</v>
      </c>
      <c r="E52" s="2">
        <v>28</v>
      </c>
      <c r="F52" s="2" t="s">
        <v>5</v>
      </c>
      <c r="G52" s="2" t="s">
        <v>333</v>
      </c>
      <c r="H52" s="19" t="s">
        <v>354</v>
      </c>
      <c r="I52" s="50">
        <v>46188</v>
      </c>
      <c r="J52" s="2">
        <v>28</v>
      </c>
      <c r="K52" s="2" t="s">
        <v>5</v>
      </c>
      <c r="L52" s="2" t="s">
        <v>333</v>
      </c>
      <c r="M52" s="2" t="s">
        <v>358</v>
      </c>
      <c r="N52" s="22" t="s">
        <v>76</v>
      </c>
      <c r="O52" s="1"/>
    </row>
    <row r="53" spans="2:15" x14ac:dyDescent="0.3">
      <c r="B53" s="1" t="s">
        <v>160</v>
      </c>
      <c r="C53" s="19" t="str">
        <f ca="1">VLOOKUP('บันทึกของเข้า-ออก'!B53,สรุป!C:E,3,0)</f>
        <v>เส้น</v>
      </c>
      <c r="D53" s="23">
        <v>46188</v>
      </c>
      <c r="E53" s="2">
        <v>12</v>
      </c>
      <c r="F53" s="2" t="s">
        <v>5</v>
      </c>
      <c r="G53" s="2" t="s">
        <v>333</v>
      </c>
      <c r="H53" s="19" t="s">
        <v>354</v>
      </c>
      <c r="I53" s="50">
        <v>46188</v>
      </c>
      <c r="J53" s="2">
        <v>12</v>
      </c>
      <c r="K53" s="2" t="s">
        <v>5</v>
      </c>
      <c r="L53" s="2" t="s">
        <v>333</v>
      </c>
      <c r="M53" s="2" t="s">
        <v>358</v>
      </c>
      <c r="N53" s="22" t="s">
        <v>76</v>
      </c>
      <c r="O53" s="1"/>
    </row>
    <row r="54" spans="2:15" x14ac:dyDescent="0.3">
      <c r="B54" s="1" t="s">
        <v>32</v>
      </c>
      <c r="C54" s="19" t="str">
        <f ca="1">VLOOKUP('บันทึกของเข้า-ออก'!B54,สรุป!C:E,3,0)</f>
        <v>เส้น</v>
      </c>
      <c r="D54" s="23">
        <v>46188</v>
      </c>
      <c r="E54" s="2">
        <v>103</v>
      </c>
      <c r="F54" s="2" t="s">
        <v>5</v>
      </c>
      <c r="G54" s="2" t="s">
        <v>333</v>
      </c>
      <c r="H54" s="19" t="s">
        <v>354</v>
      </c>
      <c r="I54" s="50">
        <v>46188</v>
      </c>
      <c r="J54" s="2">
        <v>103</v>
      </c>
      <c r="K54" s="2" t="s">
        <v>5</v>
      </c>
      <c r="L54" s="2" t="s">
        <v>333</v>
      </c>
      <c r="M54" s="2" t="s">
        <v>358</v>
      </c>
      <c r="N54" s="22" t="s">
        <v>76</v>
      </c>
      <c r="O54" s="1"/>
    </row>
    <row r="55" spans="2:15" x14ac:dyDescent="0.3">
      <c r="B55" s="1" t="s">
        <v>31</v>
      </c>
      <c r="C55" s="19" t="str">
        <f ca="1">VLOOKUP('บันทึกของเข้า-ออก'!B55,สรุป!C:E,3,0)</f>
        <v>เส้น</v>
      </c>
      <c r="D55" s="23">
        <v>46188</v>
      </c>
      <c r="E55" s="2">
        <v>3</v>
      </c>
      <c r="F55" s="2" t="s">
        <v>5</v>
      </c>
      <c r="G55" s="2" t="s">
        <v>333</v>
      </c>
      <c r="H55" s="19" t="s">
        <v>354</v>
      </c>
      <c r="I55" s="50">
        <v>46188</v>
      </c>
      <c r="J55" s="2">
        <v>3</v>
      </c>
      <c r="K55" s="2" t="s">
        <v>5</v>
      </c>
      <c r="L55" s="2" t="s">
        <v>333</v>
      </c>
      <c r="M55" s="2" t="s">
        <v>358</v>
      </c>
      <c r="N55" s="22" t="s">
        <v>76</v>
      </c>
      <c r="O55" s="1"/>
    </row>
    <row r="56" spans="2:15" x14ac:dyDescent="0.3">
      <c r="B56" s="1" t="s">
        <v>30</v>
      </c>
      <c r="C56" s="19" t="str">
        <f ca="1">VLOOKUP('บันทึกของเข้า-ออก'!B56,สรุป!C:E,3,0)</f>
        <v>เส้น</v>
      </c>
      <c r="D56" s="23">
        <v>46188</v>
      </c>
      <c r="E56" s="2">
        <v>21</v>
      </c>
      <c r="F56" s="2" t="s">
        <v>5</v>
      </c>
      <c r="G56" s="2" t="s">
        <v>333</v>
      </c>
      <c r="H56" s="19" t="s">
        <v>354</v>
      </c>
      <c r="I56" s="50">
        <v>46188</v>
      </c>
      <c r="J56" s="2">
        <v>21</v>
      </c>
      <c r="K56" s="2" t="s">
        <v>5</v>
      </c>
      <c r="L56" s="2" t="s">
        <v>333</v>
      </c>
      <c r="M56" s="2" t="s">
        <v>358</v>
      </c>
      <c r="N56" s="22" t="s">
        <v>76</v>
      </c>
      <c r="O56" s="1"/>
    </row>
    <row r="57" spans="2:15" x14ac:dyDescent="0.3">
      <c r="B57" s="1" t="s">
        <v>108</v>
      </c>
      <c r="C57" s="19" t="str">
        <f ca="1">VLOOKUP('บันทึกของเข้า-ออก'!B57,สรุป!C:E,3,0)</f>
        <v>เส้น</v>
      </c>
      <c r="D57" s="23">
        <v>46188</v>
      </c>
      <c r="E57" s="2">
        <v>54</v>
      </c>
      <c r="F57" s="2" t="s">
        <v>5</v>
      </c>
      <c r="G57" s="2" t="s">
        <v>333</v>
      </c>
      <c r="H57" s="19" t="s">
        <v>354</v>
      </c>
      <c r="I57" s="50">
        <v>46188</v>
      </c>
      <c r="J57" s="2">
        <v>54</v>
      </c>
      <c r="K57" s="2" t="s">
        <v>5</v>
      </c>
      <c r="L57" s="2" t="s">
        <v>333</v>
      </c>
      <c r="M57" s="2" t="s">
        <v>358</v>
      </c>
      <c r="N57" s="22" t="s">
        <v>76</v>
      </c>
      <c r="O57" s="1"/>
    </row>
    <row r="58" spans="2:15" x14ac:dyDescent="0.3">
      <c r="B58" s="1" t="s">
        <v>39</v>
      </c>
      <c r="C58" s="19" t="str">
        <f ca="1">VLOOKUP('บันทึกของเข้า-ออก'!B58,สรุป!C:E,3,0)</f>
        <v>เส้น</v>
      </c>
      <c r="D58" s="23">
        <v>46188</v>
      </c>
      <c r="E58" s="2">
        <v>17</v>
      </c>
      <c r="F58" s="2" t="s">
        <v>5</v>
      </c>
      <c r="G58" s="2" t="s">
        <v>333</v>
      </c>
      <c r="H58" s="19" t="s">
        <v>354</v>
      </c>
      <c r="I58" s="50">
        <v>46188</v>
      </c>
      <c r="J58" s="2">
        <v>17</v>
      </c>
      <c r="K58" s="2" t="s">
        <v>5</v>
      </c>
      <c r="L58" s="2" t="s">
        <v>333</v>
      </c>
      <c r="M58" s="2" t="s">
        <v>358</v>
      </c>
      <c r="N58" s="22" t="s">
        <v>76</v>
      </c>
      <c r="O58" s="1"/>
    </row>
    <row r="59" spans="2:15" x14ac:dyDescent="0.3">
      <c r="B59" s="1" t="s">
        <v>350</v>
      </c>
      <c r="C59" s="19" t="str">
        <f ca="1">VLOOKUP('บันทึกของเข้า-ออก'!B59,สรุป!C:E,3,0)</f>
        <v>เส้น</v>
      </c>
      <c r="D59" s="23">
        <v>46188</v>
      </c>
      <c r="E59" s="2">
        <v>11</v>
      </c>
      <c r="F59" s="2" t="s">
        <v>5</v>
      </c>
      <c r="G59" s="2" t="s">
        <v>333</v>
      </c>
      <c r="H59" s="19" t="s">
        <v>354</v>
      </c>
      <c r="I59" s="50">
        <v>46188</v>
      </c>
      <c r="J59" s="2">
        <v>11</v>
      </c>
      <c r="K59" s="2" t="s">
        <v>5</v>
      </c>
      <c r="L59" s="2" t="s">
        <v>333</v>
      </c>
      <c r="M59" s="2" t="s">
        <v>358</v>
      </c>
      <c r="N59" s="22" t="s">
        <v>76</v>
      </c>
      <c r="O59" s="1"/>
    </row>
    <row r="60" spans="2:15" x14ac:dyDescent="0.3">
      <c r="B60" s="1" t="s">
        <v>94</v>
      </c>
      <c r="C60" s="19" t="str">
        <f ca="1">VLOOKUP('บันทึกของเข้า-ออก'!B60,สรุป!C:E,3,0)</f>
        <v>เส้น</v>
      </c>
      <c r="D60" s="23">
        <v>46188</v>
      </c>
      <c r="E60" s="2">
        <v>99</v>
      </c>
      <c r="F60" s="2" t="s">
        <v>5</v>
      </c>
      <c r="G60" s="2" t="s">
        <v>333</v>
      </c>
      <c r="H60" s="19" t="s">
        <v>354</v>
      </c>
      <c r="I60" s="50">
        <v>46188</v>
      </c>
      <c r="J60" s="2">
        <v>99</v>
      </c>
      <c r="K60" s="2" t="s">
        <v>5</v>
      </c>
      <c r="L60" s="2" t="s">
        <v>333</v>
      </c>
      <c r="M60" s="2" t="s">
        <v>358</v>
      </c>
      <c r="N60" s="22" t="s">
        <v>76</v>
      </c>
      <c r="O60" s="1"/>
    </row>
    <row r="61" spans="2:15" x14ac:dyDescent="0.3">
      <c r="B61" s="1" t="s">
        <v>377</v>
      </c>
      <c r="C61" s="19" t="str">
        <f ca="1">VLOOKUP('บันทึกของเข้า-ออก'!B61,สรุป!C:E,3,0)</f>
        <v>ตัว</v>
      </c>
      <c r="D61" s="23">
        <v>46188</v>
      </c>
      <c r="E61" s="2">
        <v>49</v>
      </c>
      <c r="F61" s="2" t="s">
        <v>5</v>
      </c>
      <c r="G61" s="2" t="s">
        <v>333</v>
      </c>
      <c r="H61" s="19" t="s">
        <v>354</v>
      </c>
      <c r="I61" s="50">
        <v>46188</v>
      </c>
      <c r="J61" s="2">
        <v>49</v>
      </c>
      <c r="K61" s="2" t="s">
        <v>5</v>
      </c>
      <c r="L61" s="2" t="s">
        <v>333</v>
      </c>
      <c r="M61" s="2" t="s">
        <v>358</v>
      </c>
      <c r="N61" s="22" t="s">
        <v>76</v>
      </c>
      <c r="O61" s="1"/>
    </row>
    <row r="62" spans="2:15" x14ac:dyDescent="0.3">
      <c r="B62" s="1" t="s">
        <v>151</v>
      </c>
      <c r="C62" s="19" t="str">
        <f ca="1">VLOOKUP('บันทึกของเข้า-ออก'!B62,สรุป!C:E,3,0)</f>
        <v>ตัว</v>
      </c>
      <c r="D62" s="23">
        <v>46188</v>
      </c>
      <c r="E62" s="2">
        <v>33</v>
      </c>
      <c r="F62" s="2" t="s">
        <v>5</v>
      </c>
      <c r="G62" s="2" t="s">
        <v>333</v>
      </c>
      <c r="H62" s="19" t="s">
        <v>354</v>
      </c>
      <c r="I62" s="50">
        <v>46188</v>
      </c>
      <c r="J62" s="2">
        <v>33</v>
      </c>
      <c r="K62" s="2" t="s">
        <v>5</v>
      </c>
      <c r="L62" s="2" t="s">
        <v>333</v>
      </c>
      <c r="M62" s="2" t="s">
        <v>358</v>
      </c>
      <c r="N62" s="22" t="s">
        <v>76</v>
      </c>
      <c r="O62" s="1"/>
    </row>
    <row r="63" spans="2:15" x14ac:dyDescent="0.3">
      <c r="B63" s="1" t="s">
        <v>122</v>
      </c>
      <c r="C63" s="19" t="str">
        <f ca="1">VLOOKUP('บันทึกของเข้า-ออก'!B63,สรุป!C:E,3,0)</f>
        <v>แผ่น</v>
      </c>
      <c r="D63" s="23">
        <v>46188</v>
      </c>
      <c r="E63" s="2">
        <v>5</v>
      </c>
      <c r="F63" s="2" t="s">
        <v>5</v>
      </c>
      <c r="G63" s="2" t="s">
        <v>333</v>
      </c>
      <c r="H63" s="19" t="s">
        <v>354</v>
      </c>
      <c r="I63" s="50">
        <v>46188</v>
      </c>
      <c r="J63" s="2">
        <v>5</v>
      </c>
      <c r="K63" s="2" t="s">
        <v>5</v>
      </c>
      <c r="L63" s="2" t="s">
        <v>333</v>
      </c>
      <c r="M63" s="2" t="s">
        <v>358</v>
      </c>
      <c r="N63" s="22" t="s">
        <v>76</v>
      </c>
      <c r="O63" s="1"/>
    </row>
    <row r="64" spans="2:15" x14ac:dyDescent="0.3">
      <c r="B64" s="1" t="s">
        <v>18</v>
      </c>
      <c r="C64" s="19" t="str">
        <f ca="1">VLOOKUP('บันทึกของเข้า-ออก'!B64,สรุป!C:E,3,0)</f>
        <v>ขา</v>
      </c>
      <c r="D64" s="23">
        <v>46188</v>
      </c>
      <c r="E64" s="2">
        <v>53</v>
      </c>
      <c r="F64" s="2" t="s">
        <v>5</v>
      </c>
      <c r="G64" s="2" t="s">
        <v>333</v>
      </c>
      <c r="H64" s="19" t="s">
        <v>354</v>
      </c>
      <c r="I64" s="50">
        <v>46188</v>
      </c>
      <c r="J64" s="2">
        <v>53</v>
      </c>
      <c r="K64" s="2" t="s">
        <v>5</v>
      </c>
      <c r="L64" s="2" t="s">
        <v>333</v>
      </c>
      <c r="M64" s="2" t="s">
        <v>358</v>
      </c>
      <c r="N64" s="22" t="s">
        <v>76</v>
      </c>
      <c r="O64" s="1"/>
    </row>
    <row r="65" spans="2:15" x14ac:dyDescent="0.3">
      <c r="B65" s="1" t="s">
        <v>19</v>
      </c>
      <c r="C65" s="19" t="str">
        <f ca="1">VLOOKUP('บันทึกของเข้า-ออก'!B65,สรุป!C:E,3,0)</f>
        <v>ขา</v>
      </c>
      <c r="D65" s="23">
        <v>46188</v>
      </c>
      <c r="E65" s="2">
        <v>7</v>
      </c>
      <c r="F65" s="2" t="s">
        <v>5</v>
      </c>
      <c r="G65" s="2" t="s">
        <v>333</v>
      </c>
      <c r="H65" s="19" t="s">
        <v>354</v>
      </c>
      <c r="I65" s="50">
        <v>46188</v>
      </c>
      <c r="J65" s="2">
        <v>7</v>
      </c>
      <c r="K65" s="2" t="s">
        <v>5</v>
      </c>
      <c r="L65" s="2" t="s">
        <v>333</v>
      </c>
      <c r="M65" s="2" t="s">
        <v>358</v>
      </c>
      <c r="N65" s="22" t="s">
        <v>76</v>
      </c>
      <c r="O65" s="1"/>
    </row>
    <row r="66" spans="2:15" x14ac:dyDescent="0.3">
      <c r="B66" s="1" t="s">
        <v>186</v>
      </c>
      <c r="C66" s="19" t="str">
        <f ca="1">VLOOKUP('บันทึกของเข้า-ออก'!B66,สรุป!C:E,3,0)</f>
        <v>คู่</v>
      </c>
      <c r="D66" s="23">
        <v>46188</v>
      </c>
      <c r="E66" s="2">
        <v>81</v>
      </c>
      <c r="F66" s="2" t="s">
        <v>5</v>
      </c>
      <c r="G66" s="2" t="s">
        <v>333</v>
      </c>
      <c r="H66" s="19" t="s">
        <v>354</v>
      </c>
      <c r="I66" s="50">
        <v>46188</v>
      </c>
      <c r="J66" s="2">
        <v>81</v>
      </c>
      <c r="K66" s="2" t="s">
        <v>5</v>
      </c>
      <c r="L66" s="2" t="s">
        <v>333</v>
      </c>
      <c r="M66" s="2" t="s">
        <v>358</v>
      </c>
      <c r="N66" s="22" t="s">
        <v>76</v>
      </c>
      <c r="O66" s="1"/>
    </row>
    <row r="67" spans="2:15" x14ac:dyDescent="0.3">
      <c r="B67" s="1" t="s">
        <v>20</v>
      </c>
      <c r="C67" s="19" t="str">
        <f ca="1">VLOOKUP('บันทึกของเข้า-ออก'!B67,สรุป!C:E,3,0)</f>
        <v>ตัว</v>
      </c>
      <c r="D67" s="23">
        <v>46188</v>
      </c>
      <c r="E67" s="2">
        <v>36</v>
      </c>
      <c r="F67" s="2" t="s">
        <v>5</v>
      </c>
      <c r="G67" s="2" t="s">
        <v>333</v>
      </c>
      <c r="H67" s="19" t="s">
        <v>354</v>
      </c>
      <c r="I67" s="50">
        <v>46188</v>
      </c>
      <c r="J67" s="2">
        <v>36</v>
      </c>
      <c r="K67" s="2" t="s">
        <v>5</v>
      </c>
      <c r="L67" s="2" t="s">
        <v>333</v>
      </c>
      <c r="M67" s="2" t="s">
        <v>358</v>
      </c>
      <c r="N67" s="22" t="s">
        <v>76</v>
      </c>
      <c r="O67" s="1"/>
    </row>
    <row r="68" spans="2:15" x14ac:dyDescent="0.3">
      <c r="B68" s="1" t="s">
        <v>330</v>
      </c>
      <c r="C68" s="19" t="str">
        <f ca="1">VLOOKUP('บันทึกของเข้า-ออก'!B68,สรุป!C:E,3,0)</f>
        <v>ตัว</v>
      </c>
      <c r="D68" s="23">
        <v>46188</v>
      </c>
      <c r="E68" s="2">
        <v>18</v>
      </c>
      <c r="F68" s="2" t="s">
        <v>5</v>
      </c>
      <c r="G68" s="2" t="s">
        <v>333</v>
      </c>
      <c r="H68" s="19" t="s">
        <v>354</v>
      </c>
      <c r="I68" s="50">
        <v>46188</v>
      </c>
      <c r="J68" s="2">
        <v>18</v>
      </c>
      <c r="K68" s="2" t="s">
        <v>5</v>
      </c>
      <c r="L68" s="2" t="s">
        <v>333</v>
      </c>
      <c r="M68" s="2" t="s">
        <v>358</v>
      </c>
      <c r="N68" s="22" t="s">
        <v>76</v>
      </c>
      <c r="O68" s="1"/>
    </row>
    <row r="69" spans="2:15" x14ac:dyDescent="0.3">
      <c r="B69" s="1" t="s">
        <v>106</v>
      </c>
      <c r="C69" s="19" t="str">
        <f ca="1">VLOOKUP('บันทึกของเข้า-ออก'!B69,สรุป!C:E,3,0)</f>
        <v>ท่อน</v>
      </c>
      <c r="D69" s="23">
        <v>46188</v>
      </c>
      <c r="E69" s="2">
        <v>13</v>
      </c>
      <c r="F69" s="2" t="s">
        <v>5</v>
      </c>
      <c r="G69" s="2" t="s">
        <v>333</v>
      </c>
      <c r="H69" s="19" t="s">
        <v>354</v>
      </c>
      <c r="I69" s="50">
        <v>46188</v>
      </c>
      <c r="J69" s="2">
        <v>13</v>
      </c>
      <c r="K69" s="2" t="s">
        <v>5</v>
      </c>
      <c r="L69" s="2" t="s">
        <v>333</v>
      </c>
      <c r="M69" s="2" t="s">
        <v>358</v>
      </c>
      <c r="N69" s="22" t="s">
        <v>76</v>
      </c>
      <c r="O69" s="1"/>
    </row>
    <row r="70" spans="2:15" x14ac:dyDescent="0.3">
      <c r="B70" s="1" t="s">
        <v>230</v>
      </c>
      <c r="C70" s="19" t="str">
        <f ca="1">VLOOKUP('บันทึกของเข้า-ออก'!B70,สรุป!C:E,3,0)</f>
        <v>ผืน</v>
      </c>
      <c r="D70" s="23">
        <v>46189</v>
      </c>
      <c r="E70" s="2">
        <v>80</v>
      </c>
      <c r="F70" s="2" t="s">
        <v>5</v>
      </c>
      <c r="G70" s="2" t="s">
        <v>3</v>
      </c>
      <c r="H70" s="19" t="s">
        <v>354</v>
      </c>
      <c r="I70" s="50">
        <v>46189</v>
      </c>
      <c r="J70" s="2">
        <v>80</v>
      </c>
      <c r="K70" s="2" t="s">
        <v>5</v>
      </c>
      <c r="L70" s="2" t="s">
        <v>3</v>
      </c>
      <c r="M70" s="2" t="s">
        <v>358</v>
      </c>
      <c r="N70" s="22" t="s">
        <v>76</v>
      </c>
      <c r="O70" s="1"/>
    </row>
    <row r="71" spans="2:15" x14ac:dyDescent="0.3">
      <c r="B71" s="1" t="s">
        <v>20</v>
      </c>
      <c r="C71" s="19" t="str">
        <f ca="1">VLOOKUP('บันทึกของเข้า-ออก'!B71,สรุป!C:E,3,0)</f>
        <v>ตัว</v>
      </c>
      <c r="D71" s="23">
        <v>46189</v>
      </c>
      <c r="E71" s="2">
        <v>350</v>
      </c>
      <c r="F71" s="2" t="s">
        <v>3</v>
      </c>
      <c r="G71" s="2" t="s">
        <v>333</v>
      </c>
      <c r="H71" s="19" t="s">
        <v>358</v>
      </c>
      <c r="I71" s="50">
        <v>46189</v>
      </c>
      <c r="J71" s="2">
        <v>350</v>
      </c>
      <c r="K71" s="2" t="s">
        <v>3</v>
      </c>
      <c r="L71" s="2" t="s">
        <v>333</v>
      </c>
      <c r="M71" s="2" t="s">
        <v>358</v>
      </c>
      <c r="N71" s="22" t="s">
        <v>76</v>
      </c>
      <c r="O71" s="1"/>
    </row>
    <row r="72" spans="2:15" x14ac:dyDescent="0.3">
      <c r="B72" s="1" t="s">
        <v>193</v>
      </c>
      <c r="C72" s="19" t="str">
        <f ca="1">VLOOKUP('บันทึกของเข้า-ออก'!B72,สรุป!C:E,3,0)</f>
        <v>ล้อ</v>
      </c>
      <c r="D72" s="23">
        <v>46189</v>
      </c>
      <c r="E72" s="2">
        <v>12</v>
      </c>
      <c r="F72" s="2" t="s">
        <v>3</v>
      </c>
      <c r="G72" s="2" t="s">
        <v>333</v>
      </c>
      <c r="H72" s="19" t="s">
        <v>358</v>
      </c>
      <c r="I72" s="50">
        <v>46189</v>
      </c>
      <c r="J72" s="2">
        <v>12</v>
      </c>
      <c r="K72" s="2" t="s">
        <v>3</v>
      </c>
      <c r="L72" s="2" t="s">
        <v>333</v>
      </c>
      <c r="M72" s="2" t="s">
        <v>358</v>
      </c>
      <c r="N72" s="22" t="s">
        <v>76</v>
      </c>
      <c r="O72" s="1"/>
    </row>
    <row r="73" spans="2:15" x14ac:dyDescent="0.3">
      <c r="B73" s="1" t="s">
        <v>224</v>
      </c>
      <c r="C73" s="19" t="str">
        <f ca="1">VLOOKUP('บันทึกของเข้า-ออก'!B73,สรุป!C:E,3,0)</f>
        <v>แผ่น</v>
      </c>
      <c r="D73" s="23"/>
      <c r="E73" s="2"/>
      <c r="F73" s="2"/>
      <c r="G73" s="2"/>
      <c r="H73" s="19"/>
      <c r="I73" s="50">
        <v>46190</v>
      </c>
      <c r="J73" s="2">
        <v>270</v>
      </c>
      <c r="K73" s="2" t="s">
        <v>175</v>
      </c>
      <c r="L73" s="2" t="s">
        <v>333</v>
      </c>
      <c r="M73" s="2" t="s">
        <v>358</v>
      </c>
      <c r="N73" s="22" t="s">
        <v>76</v>
      </c>
      <c r="O73" s="1"/>
    </row>
    <row r="74" spans="2:15" x14ac:dyDescent="0.3">
      <c r="B74" s="1" t="s">
        <v>35</v>
      </c>
      <c r="C74" s="19" t="str">
        <f ca="1">VLOOKUP('บันทึกของเข้า-ออก'!B74,สรุป!C:E,3,0)</f>
        <v>เส้น</v>
      </c>
      <c r="D74" s="23"/>
      <c r="E74" s="2"/>
      <c r="F74" s="2"/>
      <c r="G74" s="2"/>
      <c r="H74" s="19"/>
      <c r="I74" s="50">
        <v>46190</v>
      </c>
      <c r="J74" s="2">
        <v>185</v>
      </c>
      <c r="K74" s="2" t="s">
        <v>175</v>
      </c>
      <c r="L74" s="2" t="s">
        <v>333</v>
      </c>
      <c r="M74" s="2" t="s">
        <v>358</v>
      </c>
      <c r="N74" s="22" t="s">
        <v>76</v>
      </c>
      <c r="O74" s="1"/>
    </row>
    <row r="75" spans="2:15" x14ac:dyDescent="0.3">
      <c r="B75" s="1" t="s">
        <v>36</v>
      </c>
      <c r="C75" s="19" t="str">
        <f ca="1">VLOOKUP('บันทึกของเข้า-ออก'!B75,สรุป!C:E,3,0)</f>
        <v>เส้น</v>
      </c>
      <c r="D75" s="23"/>
      <c r="E75" s="2"/>
      <c r="F75" s="2"/>
      <c r="G75" s="2"/>
      <c r="H75" s="19"/>
      <c r="I75" s="50">
        <v>46190</v>
      </c>
      <c r="J75" s="2">
        <v>60</v>
      </c>
      <c r="K75" s="2" t="s">
        <v>175</v>
      </c>
      <c r="L75" s="2" t="s">
        <v>333</v>
      </c>
      <c r="M75" s="2" t="s">
        <v>358</v>
      </c>
      <c r="N75" s="22" t="s">
        <v>76</v>
      </c>
      <c r="O75" s="1"/>
    </row>
    <row r="76" spans="2:15" x14ac:dyDescent="0.3">
      <c r="B76" s="1" t="s">
        <v>94</v>
      </c>
      <c r="C76" s="19" t="str">
        <f ca="1">VLOOKUP('บันทึกของเข้า-ออก'!B76,สรุป!C:E,3,0)</f>
        <v>เส้น</v>
      </c>
      <c r="D76" s="23"/>
      <c r="E76" s="2"/>
      <c r="F76" s="2"/>
      <c r="G76" s="2"/>
      <c r="H76" s="19"/>
      <c r="I76" s="50">
        <v>46190</v>
      </c>
      <c r="J76" s="2">
        <v>190</v>
      </c>
      <c r="K76" s="2" t="s">
        <v>175</v>
      </c>
      <c r="L76" s="2" t="s">
        <v>333</v>
      </c>
      <c r="M76" s="2" t="s">
        <v>358</v>
      </c>
      <c r="N76" s="22" t="s">
        <v>76</v>
      </c>
      <c r="O76" s="1"/>
    </row>
    <row r="77" spans="2:15" x14ac:dyDescent="0.3">
      <c r="B77" s="1" t="s">
        <v>24</v>
      </c>
      <c r="C77" s="19" t="str">
        <f ca="1">VLOOKUP('บันทึกของเข้า-ออก'!B77,สรุป!C:E,3,0)</f>
        <v>อัน</v>
      </c>
      <c r="D77" s="23">
        <v>46192</v>
      </c>
      <c r="E77" s="2">
        <v>6</v>
      </c>
      <c r="F77" s="2" t="s">
        <v>333</v>
      </c>
      <c r="G77" s="2" t="s">
        <v>329</v>
      </c>
      <c r="H77" s="19" t="s">
        <v>364</v>
      </c>
      <c r="I77" s="50">
        <v>46192</v>
      </c>
      <c r="J77" s="2">
        <v>6</v>
      </c>
      <c r="K77" s="2" t="s">
        <v>333</v>
      </c>
      <c r="L77" s="2" t="s">
        <v>329</v>
      </c>
      <c r="M77" s="2" t="s">
        <v>358</v>
      </c>
      <c r="N77" s="22" t="s">
        <v>76</v>
      </c>
      <c r="O77" s="1"/>
    </row>
    <row r="78" spans="2:15" x14ac:dyDescent="0.3">
      <c r="B78" s="1" t="s">
        <v>19</v>
      </c>
      <c r="C78" s="19" t="str">
        <f ca="1">VLOOKUP('บันทึกของเข้า-ออก'!B78,สรุป!C:E,3,0)</f>
        <v>ขา</v>
      </c>
      <c r="D78" s="23">
        <v>46193</v>
      </c>
      <c r="E78" s="2">
        <v>178</v>
      </c>
      <c r="F78" s="2" t="s">
        <v>105</v>
      </c>
      <c r="G78" s="2" t="s">
        <v>333</v>
      </c>
      <c r="H78" s="19"/>
      <c r="I78" s="50">
        <v>46193</v>
      </c>
      <c r="J78" s="2">
        <v>178</v>
      </c>
      <c r="K78" s="2" t="s">
        <v>105</v>
      </c>
      <c r="L78" s="2" t="s">
        <v>333</v>
      </c>
      <c r="M78" s="2" t="s">
        <v>358</v>
      </c>
      <c r="N78" s="22" t="s">
        <v>76</v>
      </c>
      <c r="O78" s="1"/>
    </row>
    <row r="79" spans="2:15" x14ac:dyDescent="0.3">
      <c r="B79" s="1" t="s">
        <v>18</v>
      </c>
      <c r="C79" s="19" t="str">
        <f ca="1">VLOOKUP('บันทึกของเข้า-ออก'!B79,สรุป!C:E,3,0)</f>
        <v>ขา</v>
      </c>
      <c r="D79" s="23">
        <v>46193</v>
      </c>
      <c r="E79" s="2">
        <v>40</v>
      </c>
      <c r="F79" s="2" t="s">
        <v>105</v>
      </c>
      <c r="G79" s="2" t="s">
        <v>333</v>
      </c>
      <c r="H79" s="19"/>
      <c r="I79" s="50">
        <v>46193</v>
      </c>
      <c r="J79" s="2">
        <v>40</v>
      </c>
      <c r="K79" s="2" t="s">
        <v>105</v>
      </c>
      <c r="L79" s="2" t="s">
        <v>333</v>
      </c>
      <c r="M79" s="2" t="s">
        <v>358</v>
      </c>
      <c r="N79" s="22" t="s">
        <v>76</v>
      </c>
      <c r="O79" s="1"/>
    </row>
    <row r="80" spans="2:15" x14ac:dyDescent="0.3">
      <c r="B80" s="1" t="s">
        <v>24</v>
      </c>
      <c r="C80" s="19" t="str">
        <f ca="1">VLOOKUP('บันทึกของเข้า-ออก'!B80,สรุป!C:E,3,0)</f>
        <v>อัน</v>
      </c>
      <c r="D80" s="23">
        <v>46193</v>
      </c>
      <c r="E80" s="2">
        <v>20</v>
      </c>
      <c r="F80" s="2" t="s">
        <v>105</v>
      </c>
      <c r="G80" s="2" t="s">
        <v>333</v>
      </c>
      <c r="H80" s="19"/>
      <c r="I80" s="50">
        <v>46193</v>
      </c>
      <c r="J80" s="2">
        <v>20</v>
      </c>
      <c r="K80" s="2" t="s">
        <v>105</v>
      </c>
      <c r="L80" s="2" t="s">
        <v>333</v>
      </c>
      <c r="M80" s="2" t="s">
        <v>358</v>
      </c>
      <c r="N80" s="22" t="s">
        <v>76</v>
      </c>
      <c r="O80" s="1"/>
    </row>
    <row r="81" spans="2:15" x14ac:dyDescent="0.3">
      <c r="B81" s="1" t="s">
        <v>151</v>
      </c>
      <c r="C81" s="19" t="str">
        <f ca="1">VLOOKUP('บันทึกของเข้า-ออก'!B81,สรุป!C:E,3,0)</f>
        <v>ตัว</v>
      </c>
      <c r="D81" s="23">
        <v>46193</v>
      </c>
      <c r="E81" s="2">
        <v>40</v>
      </c>
      <c r="F81" s="2" t="s">
        <v>105</v>
      </c>
      <c r="G81" s="2" t="s">
        <v>333</v>
      </c>
      <c r="H81" s="19"/>
      <c r="I81" s="50">
        <v>46193</v>
      </c>
      <c r="J81" s="2">
        <v>40</v>
      </c>
      <c r="K81" s="2" t="s">
        <v>105</v>
      </c>
      <c r="L81" s="2" t="s">
        <v>333</v>
      </c>
      <c r="M81" s="2" t="s">
        <v>358</v>
      </c>
      <c r="N81" s="22" t="s">
        <v>76</v>
      </c>
      <c r="O81" s="1"/>
    </row>
    <row r="82" spans="2:15" x14ac:dyDescent="0.3">
      <c r="B82" s="1" t="s">
        <v>152</v>
      </c>
      <c r="C82" s="19" t="str">
        <f ca="1">VLOOKUP('บันทึกของเข้า-ออก'!B82,สรุป!C:E,3,0)</f>
        <v>ตัว</v>
      </c>
      <c r="D82" s="23">
        <v>46193</v>
      </c>
      <c r="E82" s="2">
        <v>17</v>
      </c>
      <c r="F82" s="2" t="s">
        <v>105</v>
      </c>
      <c r="G82" s="2" t="s">
        <v>333</v>
      </c>
      <c r="H82" s="19"/>
      <c r="I82" s="50">
        <v>46193</v>
      </c>
      <c r="J82" s="2">
        <v>17</v>
      </c>
      <c r="K82" s="2" t="s">
        <v>105</v>
      </c>
      <c r="L82" s="2" t="s">
        <v>333</v>
      </c>
      <c r="M82" s="2" t="s">
        <v>358</v>
      </c>
      <c r="N82" s="22" t="s">
        <v>76</v>
      </c>
      <c r="O82" s="1"/>
    </row>
    <row r="83" spans="2:15" x14ac:dyDescent="0.3">
      <c r="B83" s="1" t="s">
        <v>186</v>
      </c>
      <c r="C83" s="19" t="str">
        <f ca="1">VLOOKUP('บันทึกของเข้า-ออก'!B83,สรุป!C:E,3,0)</f>
        <v>คู่</v>
      </c>
      <c r="D83" s="23">
        <v>46193</v>
      </c>
      <c r="E83" s="2">
        <v>23</v>
      </c>
      <c r="F83" s="2" t="s">
        <v>105</v>
      </c>
      <c r="G83" s="2" t="s">
        <v>333</v>
      </c>
      <c r="H83" s="19"/>
      <c r="I83" s="50">
        <v>46193</v>
      </c>
      <c r="J83" s="2">
        <v>23</v>
      </c>
      <c r="K83" s="2" t="s">
        <v>105</v>
      </c>
      <c r="L83" s="2" t="s">
        <v>333</v>
      </c>
      <c r="M83" s="2" t="s">
        <v>358</v>
      </c>
      <c r="N83" s="22" t="s">
        <v>76</v>
      </c>
      <c r="O83" s="1"/>
    </row>
    <row r="84" spans="2:15" x14ac:dyDescent="0.3">
      <c r="B84" s="1" t="s">
        <v>23</v>
      </c>
      <c r="C84" s="19" t="str">
        <f ca="1">VLOOKUP('บันทึกของเข้า-ออก'!B84,สรุป!C:E,3,0)</f>
        <v>ตัว</v>
      </c>
      <c r="D84" s="23">
        <v>46198</v>
      </c>
      <c r="E84" s="2">
        <v>300</v>
      </c>
      <c r="F84" s="2" t="s">
        <v>3</v>
      </c>
      <c r="G84" s="2" t="s">
        <v>333</v>
      </c>
      <c r="H84" s="19"/>
      <c r="I84" s="50">
        <v>46198</v>
      </c>
      <c r="J84" s="2">
        <v>300</v>
      </c>
      <c r="K84" s="2" t="s">
        <v>3</v>
      </c>
      <c r="L84" s="2" t="s">
        <v>333</v>
      </c>
      <c r="M84" s="2" t="s">
        <v>358</v>
      </c>
      <c r="N84" s="22" t="s">
        <v>76</v>
      </c>
      <c r="O84" s="1"/>
    </row>
    <row r="85" spans="2:15" x14ac:dyDescent="0.3">
      <c r="B85" s="1" t="s">
        <v>75</v>
      </c>
      <c r="C85" s="19" t="str">
        <f ca="1">VLOOKUP('บันทึกของเข้า-ออก'!B85,สรุป!C:E,3,0)</f>
        <v>อัน</v>
      </c>
      <c r="D85" s="23">
        <v>46198</v>
      </c>
      <c r="E85" s="2">
        <v>2</v>
      </c>
      <c r="F85" s="2" t="s">
        <v>3</v>
      </c>
      <c r="G85" s="2" t="s">
        <v>333</v>
      </c>
      <c r="H85" s="19"/>
      <c r="I85" s="50">
        <v>46198</v>
      </c>
      <c r="J85" s="2">
        <v>2</v>
      </c>
      <c r="K85" s="2" t="s">
        <v>3</v>
      </c>
      <c r="L85" s="2" t="s">
        <v>333</v>
      </c>
      <c r="M85" s="2" t="s">
        <v>358</v>
      </c>
      <c r="N85" s="22" t="s">
        <v>76</v>
      </c>
      <c r="O85" s="1"/>
    </row>
    <row r="86" spans="2:15" x14ac:dyDescent="0.3">
      <c r="B86" s="1" t="s">
        <v>186</v>
      </c>
      <c r="C86" s="19" t="str">
        <f ca="1">VLOOKUP('บันทึกของเข้า-ออก'!B86,สรุป!C:E,3,0)</f>
        <v>คู่</v>
      </c>
      <c r="D86" s="23">
        <v>46198</v>
      </c>
      <c r="E86" s="2">
        <v>10</v>
      </c>
      <c r="F86" s="2" t="s">
        <v>3</v>
      </c>
      <c r="G86" s="2" t="s">
        <v>333</v>
      </c>
      <c r="H86" s="19"/>
      <c r="I86" s="50">
        <v>46198</v>
      </c>
      <c r="J86" s="2">
        <v>10</v>
      </c>
      <c r="K86" s="2" t="s">
        <v>3</v>
      </c>
      <c r="L86" s="2" t="s">
        <v>333</v>
      </c>
      <c r="M86" s="2" t="s">
        <v>358</v>
      </c>
      <c r="N86" s="22" t="s">
        <v>76</v>
      </c>
      <c r="O86" s="1"/>
    </row>
    <row r="87" spans="2:15" x14ac:dyDescent="0.3">
      <c r="B87" s="1" t="s">
        <v>336</v>
      </c>
      <c r="C87" s="19" t="str">
        <f ca="1">VLOOKUP('บันทึกของเข้า-ออก'!B87,สรุป!C:E,3,0)</f>
        <v>เครื่อง</v>
      </c>
      <c r="D87" s="23">
        <v>46198</v>
      </c>
      <c r="E87" s="2">
        <v>1</v>
      </c>
      <c r="F87" s="2" t="s">
        <v>3</v>
      </c>
      <c r="G87" s="2" t="s">
        <v>170</v>
      </c>
      <c r="H87" s="19"/>
      <c r="I87" s="50">
        <v>46198</v>
      </c>
      <c r="J87" s="2">
        <v>1</v>
      </c>
      <c r="K87" s="2" t="s">
        <v>3</v>
      </c>
      <c r="L87" s="2" t="s">
        <v>170</v>
      </c>
      <c r="M87" s="2" t="s">
        <v>358</v>
      </c>
      <c r="N87" s="22" t="s">
        <v>76</v>
      </c>
      <c r="O87" s="1" t="s">
        <v>383</v>
      </c>
    </row>
    <row r="88" spans="2:15" x14ac:dyDescent="0.3">
      <c r="B88" s="1" t="s">
        <v>316</v>
      </c>
      <c r="C88" s="19" t="str">
        <f ca="1">VLOOKUP('บันทึกของเข้า-ออก'!B88,สรุป!C:E,3,0)</f>
        <v>เครื่อง</v>
      </c>
      <c r="D88" s="23">
        <v>46198</v>
      </c>
      <c r="E88" s="2">
        <v>1</v>
      </c>
      <c r="F88" s="2" t="s">
        <v>3</v>
      </c>
      <c r="G88" s="2" t="s">
        <v>170</v>
      </c>
      <c r="H88" s="19"/>
      <c r="I88" s="50">
        <v>46198</v>
      </c>
      <c r="J88" s="2">
        <v>1</v>
      </c>
      <c r="K88" s="2" t="s">
        <v>3</v>
      </c>
      <c r="L88" s="2" t="s">
        <v>170</v>
      </c>
      <c r="M88" s="2" t="s">
        <v>358</v>
      </c>
      <c r="N88" s="22" t="s">
        <v>76</v>
      </c>
      <c r="O88" s="1" t="s">
        <v>383</v>
      </c>
    </row>
    <row r="89" spans="2:15" x14ac:dyDescent="0.3">
      <c r="B89" s="1" t="s">
        <v>186</v>
      </c>
      <c r="C89" s="19" t="str">
        <f ca="1">VLOOKUP('บันทึกของเข้า-ออก'!B89,สรุป!C:E,3,0)</f>
        <v>คู่</v>
      </c>
      <c r="D89" s="23">
        <v>46199</v>
      </c>
      <c r="E89" s="2">
        <v>120</v>
      </c>
      <c r="F89" s="2" t="s">
        <v>288</v>
      </c>
      <c r="G89" s="2" t="s">
        <v>333</v>
      </c>
      <c r="H89" s="19"/>
      <c r="I89" s="50">
        <v>46199</v>
      </c>
      <c r="J89" s="2">
        <v>120</v>
      </c>
      <c r="K89" s="2" t="s">
        <v>288</v>
      </c>
      <c r="L89" s="2" t="s">
        <v>333</v>
      </c>
      <c r="M89" s="2" t="s">
        <v>358</v>
      </c>
      <c r="N89" s="22" t="s">
        <v>76</v>
      </c>
      <c r="O89" s="1"/>
    </row>
    <row r="90" spans="2:15" x14ac:dyDescent="0.3">
      <c r="B90" s="1" t="s">
        <v>23</v>
      </c>
      <c r="C90" s="19" t="str">
        <f ca="1">VLOOKUP('บันทึกของเข้า-ออก'!B90,สรุป!C:E,3,0)</f>
        <v>ตัว</v>
      </c>
      <c r="D90" s="23">
        <v>46200</v>
      </c>
      <c r="E90" s="2">
        <v>450</v>
      </c>
      <c r="F90" s="2" t="s">
        <v>3</v>
      </c>
      <c r="G90" s="2" t="s">
        <v>333</v>
      </c>
      <c r="H90" s="19"/>
      <c r="I90" s="50">
        <v>46200</v>
      </c>
      <c r="J90" s="2">
        <v>450</v>
      </c>
      <c r="K90" s="2" t="s">
        <v>3</v>
      </c>
      <c r="L90" s="2" t="s">
        <v>333</v>
      </c>
      <c r="M90" s="2" t="s">
        <v>358</v>
      </c>
      <c r="N90" s="22" t="s">
        <v>76</v>
      </c>
      <c r="O90" s="1"/>
    </row>
    <row r="91" spans="2:15" x14ac:dyDescent="0.3">
      <c r="B91" s="1" t="s">
        <v>327</v>
      </c>
      <c r="C91" s="19" t="str">
        <f ca="1">VLOOKUP('บันทึกของเข้า-ออก'!B91,สรุป!C:E,3,0)</f>
        <v>ถัง</v>
      </c>
      <c r="D91" s="23">
        <v>46200</v>
      </c>
      <c r="E91" s="2">
        <v>3</v>
      </c>
      <c r="F91" s="2" t="s">
        <v>3</v>
      </c>
      <c r="G91" s="2" t="s">
        <v>333</v>
      </c>
      <c r="H91" s="19"/>
      <c r="I91" s="50">
        <v>46200</v>
      </c>
      <c r="J91" s="2">
        <v>3</v>
      </c>
      <c r="K91" s="2" t="s">
        <v>3</v>
      </c>
      <c r="L91" s="2" t="s">
        <v>333</v>
      </c>
      <c r="M91" s="2" t="s">
        <v>358</v>
      </c>
      <c r="N91" s="22" t="s">
        <v>76</v>
      </c>
      <c r="O91" s="1"/>
    </row>
    <row r="92" spans="2:15" x14ac:dyDescent="0.3">
      <c r="B92" s="1" t="s">
        <v>23</v>
      </c>
      <c r="C92" s="19" t="str">
        <f ca="1">VLOOKUP('บันทึกของเข้า-ออก'!B92,สรุป!C:E,3,0)</f>
        <v>ตัว</v>
      </c>
      <c r="D92" s="23">
        <v>46202</v>
      </c>
      <c r="E92" s="2">
        <v>450</v>
      </c>
      <c r="F92" s="2" t="s">
        <v>3</v>
      </c>
      <c r="G92" s="2" t="s">
        <v>333</v>
      </c>
      <c r="H92" s="19"/>
      <c r="I92" s="50" t="s">
        <v>379</v>
      </c>
      <c r="J92" s="2">
        <v>450</v>
      </c>
      <c r="K92" s="2" t="s">
        <v>3</v>
      </c>
      <c r="L92" s="2" t="s">
        <v>333</v>
      </c>
      <c r="M92" s="2" t="s">
        <v>358</v>
      </c>
      <c r="N92" s="22" t="s">
        <v>76</v>
      </c>
      <c r="O92" s="1"/>
    </row>
    <row r="93" spans="2:15" x14ac:dyDescent="0.3">
      <c r="B93" s="1" t="s">
        <v>19</v>
      </c>
      <c r="C93" s="19" t="str">
        <f ca="1">VLOOKUP('บันทึกของเข้า-ออก'!B93,สรุป!C:E,3,0)</f>
        <v>ขา</v>
      </c>
      <c r="D93" s="23">
        <v>46202</v>
      </c>
      <c r="E93" s="2">
        <v>5</v>
      </c>
      <c r="F93" s="2" t="s">
        <v>6</v>
      </c>
      <c r="G93" s="2" t="s">
        <v>333</v>
      </c>
      <c r="H93" s="19"/>
      <c r="I93" s="50" t="s">
        <v>379</v>
      </c>
      <c r="J93" s="2">
        <v>5</v>
      </c>
      <c r="K93" s="2" t="s">
        <v>6</v>
      </c>
      <c r="L93" s="2" t="s">
        <v>333</v>
      </c>
      <c r="M93" s="2" t="s">
        <v>358</v>
      </c>
      <c r="N93" s="22" t="s">
        <v>76</v>
      </c>
      <c r="O93" s="1"/>
    </row>
    <row r="94" spans="2:15" x14ac:dyDescent="0.3">
      <c r="B94" s="1" t="s">
        <v>18</v>
      </c>
      <c r="C94" s="19" t="str">
        <f ca="1">VLOOKUP('บันทึกของเข้า-ออก'!B94,สรุป!C:E,3,0)</f>
        <v>ขา</v>
      </c>
      <c r="D94" s="23">
        <v>46202</v>
      </c>
      <c r="E94" s="2">
        <v>6</v>
      </c>
      <c r="F94" s="2" t="s">
        <v>6</v>
      </c>
      <c r="G94" s="2" t="s">
        <v>333</v>
      </c>
      <c r="H94" s="19"/>
      <c r="I94" s="50" t="s">
        <v>379</v>
      </c>
      <c r="J94" s="2">
        <v>6</v>
      </c>
      <c r="K94" s="2" t="s">
        <v>6</v>
      </c>
      <c r="L94" s="2" t="s">
        <v>333</v>
      </c>
      <c r="M94" s="2" t="s">
        <v>358</v>
      </c>
      <c r="N94" s="22" t="s">
        <v>76</v>
      </c>
      <c r="O94" s="1"/>
    </row>
    <row r="95" spans="2:15" x14ac:dyDescent="0.3">
      <c r="B95" s="1" t="s">
        <v>187</v>
      </c>
      <c r="C95" s="19" t="str">
        <f ca="1">VLOOKUP('บันทึกของเข้า-ออก'!B95,สรุป!C:E,3,0)</f>
        <v>คู่</v>
      </c>
      <c r="D95" s="23">
        <v>46202</v>
      </c>
      <c r="E95" s="2">
        <v>8</v>
      </c>
      <c r="F95" s="2" t="s">
        <v>6</v>
      </c>
      <c r="G95" s="2" t="s">
        <v>333</v>
      </c>
      <c r="H95" s="19"/>
      <c r="I95" s="50" t="s">
        <v>379</v>
      </c>
      <c r="J95" s="2">
        <v>8</v>
      </c>
      <c r="K95" s="2" t="s">
        <v>6</v>
      </c>
      <c r="L95" s="2" t="s">
        <v>333</v>
      </c>
      <c r="M95" s="2" t="s">
        <v>358</v>
      </c>
      <c r="N95" s="22" t="s">
        <v>76</v>
      </c>
      <c r="O95" s="1"/>
    </row>
    <row r="96" spans="2:15" x14ac:dyDescent="0.3">
      <c r="B96" s="1" t="s">
        <v>186</v>
      </c>
      <c r="C96" s="19" t="str">
        <f ca="1">VLOOKUP('บันทึกของเข้า-ออก'!B96,สรุป!C:E,3,0)</f>
        <v>คู่</v>
      </c>
      <c r="D96" s="23">
        <v>46202</v>
      </c>
      <c r="E96" s="2">
        <v>4</v>
      </c>
      <c r="F96" s="2" t="s">
        <v>6</v>
      </c>
      <c r="G96" s="2" t="s">
        <v>333</v>
      </c>
      <c r="H96" s="19"/>
      <c r="I96" s="50" t="s">
        <v>379</v>
      </c>
      <c r="J96" s="2">
        <v>4</v>
      </c>
      <c r="K96" s="2" t="s">
        <v>6</v>
      </c>
      <c r="L96" s="2" t="s">
        <v>333</v>
      </c>
      <c r="M96" s="2" t="s">
        <v>358</v>
      </c>
      <c r="N96" s="22" t="s">
        <v>76</v>
      </c>
      <c r="O96" s="1"/>
    </row>
    <row r="97" spans="2:15" x14ac:dyDescent="0.3">
      <c r="B97" s="1" t="s">
        <v>36</v>
      </c>
      <c r="C97" s="19" t="str">
        <f ca="1">VLOOKUP('บันทึกของเข้า-ออก'!B97,สรุป!C:E,3,0)</f>
        <v>เส้น</v>
      </c>
      <c r="D97" s="23">
        <v>46202</v>
      </c>
      <c r="E97" s="2">
        <v>30</v>
      </c>
      <c r="F97" s="2" t="s">
        <v>288</v>
      </c>
      <c r="G97" s="2" t="s">
        <v>333</v>
      </c>
      <c r="H97" s="19" t="s">
        <v>367</v>
      </c>
      <c r="I97" s="50">
        <v>46202</v>
      </c>
      <c r="J97" s="2">
        <v>30</v>
      </c>
      <c r="K97" s="2" t="s">
        <v>288</v>
      </c>
      <c r="L97" s="2" t="s">
        <v>333</v>
      </c>
      <c r="M97" s="2" t="s">
        <v>358</v>
      </c>
      <c r="N97" s="22" t="s">
        <v>76</v>
      </c>
      <c r="O97" s="1"/>
    </row>
    <row r="98" spans="2:15" x14ac:dyDescent="0.3">
      <c r="B98" s="1" t="s">
        <v>35</v>
      </c>
      <c r="C98" s="19" t="str">
        <f ca="1">VLOOKUP('บันทึกของเข้า-ออก'!B98,สรุป!C:E,3,0)</f>
        <v>เส้น</v>
      </c>
      <c r="D98" s="23">
        <v>46202</v>
      </c>
      <c r="E98" s="2">
        <v>30</v>
      </c>
      <c r="F98" s="2" t="s">
        <v>288</v>
      </c>
      <c r="G98" s="2" t="s">
        <v>333</v>
      </c>
      <c r="H98" s="19" t="s">
        <v>367</v>
      </c>
      <c r="I98" s="50">
        <v>46202</v>
      </c>
      <c r="J98" s="2">
        <v>30</v>
      </c>
      <c r="K98" s="2" t="s">
        <v>288</v>
      </c>
      <c r="L98" s="2" t="s">
        <v>333</v>
      </c>
      <c r="M98" s="2" t="s">
        <v>358</v>
      </c>
      <c r="N98" s="22" t="s">
        <v>76</v>
      </c>
      <c r="O98" s="1"/>
    </row>
    <row r="99" spans="2:15" x14ac:dyDescent="0.3">
      <c r="B99" s="1" t="s">
        <v>94</v>
      </c>
      <c r="C99" s="19" t="str">
        <f ca="1">VLOOKUP('บันทึกของเข้า-ออก'!B99,สรุป!C:E,3,0)</f>
        <v>เส้น</v>
      </c>
      <c r="D99" s="23">
        <v>46202</v>
      </c>
      <c r="E99" s="2">
        <v>30</v>
      </c>
      <c r="F99" s="2" t="s">
        <v>288</v>
      </c>
      <c r="G99" s="2" t="s">
        <v>333</v>
      </c>
      <c r="H99" s="19" t="s">
        <v>367</v>
      </c>
      <c r="I99" s="50">
        <v>46202</v>
      </c>
      <c r="J99" s="2">
        <v>30</v>
      </c>
      <c r="K99" s="2" t="s">
        <v>288</v>
      </c>
      <c r="L99" s="2" t="s">
        <v>333</v>
      </c>
      <c r="M99" s="2" t="s">
        <v>358</v>
      </c>
      <c r="N99" s="22" t="s">
        <v>76</v>
      </c>
      <c r="O99" s="1"/>
    </row>
    <row r="100" spans="2:15" x14ac:dyDescent="0.3">
      <c r="B100" s="1" t="s">
        <v>19</v>
      </c>
      <c r="C100" s="19" t="str">
        <f ca="1">VLOOKUP('บันทึกของเข้า-ออก'!B100,สรุป!C:E,3,0)</f>
        <v>ขา</v>
      </c>
      <c r="D100" s="23">
        <v>46202</v>
      </c>
      <c r="E100" s="2">
        <v>84</v>
      </c>
      <c r="F100" s="2" t="s">
        <v>288</v>
      </c>
      <c r="G100" s="2" t="s">
        <v>333</v>
      </c>
      <c r="H100" s="19" t="s">
        <v>367</v>
      </c>
      <c r="I100" s="50">
        <v>46202</v>
      </c>
      <c r="J100" s="2">
        <v>84</v>
      </c>
      <c r="K100" s="2" t="s">
        <v>288</v>
      </c>
      <c r="L100" s="2" t="s">
        <v>333</v>
      </c>
      <c r="M100" s="2" t="s">
        <v>358</v>
      </c>
      <c r="N100" s="22" t="s">
        <v>76</v>
      </c>
      <c r="O100" s="1"/>
    </row>
    <row r="101" spans="2:15" x14ac:dyDescent="0.3">
      <c r="B101" s="1" t="s">
        <v>224</v>
      </c>
      <c r="C101" s="19" t="str">
        <f ca="1">VLOOKUP('บันทึกของเข้า-ออก'!B101,สรุป!C:E,3,0)</f>
        <v>แผ่น</v>
      </c>
      <c r="D101" s="23">
        <v>46202</v>
      </c>
      <c r="E101" s="2">
        <v>41</v>
      </c>
      <c r="F101" s="2" t="s">
        <v>288</v>
      </c>
      <c r="G101" s="2" t="s">
        <v>333</v>
      </c>
      <c r="H101" s="19" t="s">
        <v>367</v>
      </c>
      <c r="I101" s="50">
        <v>46202</v>
      </c>
      <c r="J101" s="2">
        <v>41</v>
      </c>
      <c r="K101" s="2" t="s">
        <v>288</v>
      </c>
      <c r="L101" s="2" t="s">
        <v>333</v>
      </c>
      <c r="M101" s="2" t="s">
        <v>358</v>
      </c>
      <c r="N101" s="22" t="s">
        <v>76</v>
      </c>
      <c r="O101" s="1"/>
    </row>
    <row r="102" spans="2:15" x14ac:dyDescent="0.3">
      <c r="B102" s="1" t="s">
        <v>187</v>
      </c>
      <c r="C102" s="19" t="str">
        <f ca="1">VLOOKUP('บันทึกของเข้า-ออก'!B102,สรุป!C:E,3,0)</f>
        <v>คู่</v>
      </c>
      <c r="D102" s="23">
        <v>46202</v>
      </c>
      <c r="E102" s="2">
        <v>86</v>
      </c>
      <c r="F102" s="2" t="s">
        <v>288</v>
      </c>
      <c r="G102" s="2" t="s">
        <v>333</v>
      </c>
      <c r="H102" s="19" t="s">
        <v>367</v>
      </c>
      <c r="I102" s="50">
        <v>46202</v>
      </c>
      <c r="J102" s="2">
        <v>86</v>
      </c>
      <c r="K102" s="2" t="s">
        <v>288</v>
      </c>
      <c r="L102" s="2" t="s">
        <v>333</v>
      </c>
      <c r="M102" s="2" t="s">
        <v>358</v>
      </c>
      <c r="N102" s="22" t="s">
        <v>76</v>
      </c>
      <c r="O102" s="1"/>
    </row>
    <row r="103" spans="2:15" x14ac:dyDescent="0.3">
      <c r="B103" s="1" t="s">
        <v>187</v>
      </c>
      <c r="C103" s="19" t="str">
        <f ca="1">VLOOKUP('บันทึกของเข้า-ออก'!B103,สรุป!C:E,3,0)</f>
        <v>คู่</v>
      </c>
      <c r="D103" s="23">
        <v>46202</v>
      </c>
      <c r="E103" s="2">
        <v>50</v>
      </c>
      <c r="F103" s="2" t="s">
        <v>288</v>
      </c>
      <c r="G103" s="2" t="s">
        <v>333</v>
      </c>
      <c r="H103" s="19" t="s">
        <v>367</v>
      </c>
      <c r="I103" s="50">
        <v>46202</v>
      </c>
      <c r="J103" s="2">
        <v>50</v>
      </c>
      <c r="K103" s="2" t="s">
        <v>288</v>
      </c>
      <c r="L103" s="2" t="s">
        <v>333</v>
      </c>
      <c r="M103" s="2" t="s">
        <v>358</v>
      </c>
      <c r="N103" s="22" t="s">
        <v>76</v>
      </c>
      <c r="O103" s="1" t="s">
        <v>380</v>
      </c>
    </row>
    <row r="104" spans="2:15" x14ac:dyDescent="0.3">
      <c r="B104" s="1" t="s">
        <v>22</v>
      </c>
      <c r="C104" s="19" t="str">
        <f ca="1">VLOOKUP('บันทึกของเข้า-ออก'!B104,สรุป!C:E,3,0)</f>
        <v>ตัว</v>
      </c>
      <c r="D104" s="23">
        <v>46202</v>
      </c>
      <c r="E104" s="2">
        <v>40</v>
      </c>
      <c r="F104" s="2" t="s">
        <v>288</v>
      </c>
      <c r="G104" s="2" t="s">
        <v>333</v>
      </c>
      <c r="H104" s="19" t="s">
        <v>367</v>
      </c>
      <c r="I104" s="50">
        <v>46202</v>
      </c>
      <c r="J104" s="2">
        <v>40</v>
      </c>
      <c r="K104" s="2" t="s">
        <v>288</v>
      </c>
      <c r="L104" s="2" t="s">
        <v>333</v>
      </c>
      <c r="M104" s="2" t="s">
        <v>358</v>
      </c>
      <c r="N104" s="22" t="s">
        <v>76</v>
      </c>
      <c r="O104" s="1"/>
    </row>
    <row r="105" spans="2:15" x14ac:dyDescent="0.3">
      <c r="B105" s="1" t="s">
        <v>21</v>
      </c>
      <c r="C105" s="19" t="str">
        <f ca="1">VLOOKUP('บันทึกของเข้า-ออก'!B105,สรุป!C:E,3,0)</f>
        <v>ตัว</v>
      </c>
      <c r="D105" s="23">
        <v>46202</v>
      </c>
      <c r="E105" s="2">
        <v>100</v>
      </c>
      <c r="F105" s="2" t="s">
        <v>288</v>
      </c>
      <c r="G105" s="2" t="s">
        <v>333</v>
      </c>
      <c r="H105" s="19" t="s">
        <v>367</v>
      </c>
      <c r="I105" s="50">
        <v>46202</v>
      </c>
      <c r="J105" s="2">
        <v>100</v>
      </c>
      <c r="K105" s="2" t="s">
        <v>288</v>
      </c>
      <c r="L105" s="2" t="s">
        <v>333</v>
      </c>
      <c r="M105" s="2" t="s">
        <v>358</v>
      </c>
      <c r="N105" s="22" t="s">
        <v>76</v>
      </c>
      <c r="O105" s="1"/>
    </row>
    <row r="106" spans="2:15" x14ac:dyDescent="0.3">
      <c r="B106" s="1" t="s">
        <v>23</v>
      </c>
      <c r="C106" s="19" t="str">
        <f ca="1">VLOOKUP('บันทึกของเข้า-ออก'!B106,สรุป!C:E,3,0)</f>
        <v>ตัว</v>
      </c>
      <c r="D106" s="23">
        <v>46202</v>
      </c>
      <c r="E106" s="2">
        <v>240</v>
      </c>
      <c r="F106" s="2" t="s">
        <v>288</v>
      </c>
      <c r="G106" s="2" t="s">
        <v>333</v>
      </c>
      <c r="H106" s="19" t="s">
        <v>367</v>
      </c>
      <c r="I106" s="50">
        <v>46202</v>
      </c>
      <c r="J106" s="2">
        <v>240</v>
      </c>
      <c r="K106" s="2" t="s">
        <v>288</v>
      </c>
      <c r="L106" s="2" t="s">
        <v>333</v>
      </c>
      <c r="M106" s="2" t="s">
        <v>358</v>
      </c>
      <c r="N106" s="22" t="s">
        <v>76</v>
      </c>
      <c r="O106" s="1"/>
    </row>
    <row r="107" spans="2:15" x14ac:dyDescent="0.3">
      <c r="B107" s="1" t="s">
        <v>125</v>
      </c>
      <c r="C107" s="19" t="str">
        <f ca="1">VLOOKUP('บันทึกของเข้า-ออก'!B107,สรุป!C:E,3,0)</f>
        <v>ตัว</v>
      </c>
      <c r="D107" s="23">
        <v>46203</v>
      </c>
      <c r="E107" s="2">
        <v>1</v>
      </c>
      <c r="F107" s="2" t="s">
        <v>329</v>
      </c>
      <c r="G107" s="2" t="s">
        <v>170</v>
      </c>
      <c r="H107" s="19" t="s">
        <v>381</v>
      </c>
      <c r="I107" s="50">
        <v>46203</v>
      </c>
      <c r="J107" s="2">
        <v>1</v>
      </c>
      <c r="K107" s="2" t="s">
        <v>329</v>
      </c>
      <c r="L107" s="2" t="s">
        <v>170</v>
      </c>
      <c r="M107" s="2" t="s">
        <v>358</v>
      </c>
      <c r="N107" s="22" t="s">
        <v>76</v>
      </c>
      <c r="O107" s="1" t="s">
        <v>382</v>
      </c>
    </row>
    <row r="108" spans="2:15" x14ac:dyDescent="0.3">
      <c r="B108" s="1" t="s">
        <v>45</v>
      </c>
      <c r="C108" s="19" t="str">
        <f ca="1">VLOOKUP('บันทึกของเข้า-ออก'!B108,สรุป!C:E,3,0)</f>
        <v>ตัว</v>
      </c>
      <c r="D108" s="23">
        <v>46203</v>
      </c>
      <c r="E108" s="2">
        <v>1</v>
      </c>
      <c r="F108" s="2" t="s">
        <v>329</v>
      </c>
      <c r="G108" s="2" t="s">
        <v>170</v>
      </c>
      <c r="H108" s="19" t="s">
        <v>381</v>
      </c>
      <c r="I108" s="50">
        <v>46203</v>
      </c>
      <c r="J108" s="2">
        <v>1</v>
      </c>
      <c r="K108" s="2" t="s">
        <v>329</v>
      </c>
      <c r="L108" s="2" t="s">
        <v>170</v>
      </c>
      <c r="M108" s="2" t="s">
        <v>358</v>
      </c>
      <c r="N108" s="22" t="s">
        <v>76</v>
      </c>
      <c r="O108" s="1" t="s">
        <v>382</v>
      </c>
    </row>
    <row r="109" spans="2:15" x14ac:dyDescent="0.3">
      <c r="B109" s="1" t="s">
        <v>110</v>
      </c>
      <c r="C109" s="19" t="str">
        <f ca="1">VLOOKUP('บันทึกของเข้า-ออก'!B109,สรุป!C:E,3,0)</f>
        <v>ตัว</v>
      </c>
      <c r="D109" s="23">
        <v>46203</v>
      </c>
      <c r="E109" s="2">
        <v>1</v>
      </c>
      <c r="F109" s="2" t="s">
        <v>136</v>
      </c>
      <c r="G109" s="2" t="s">
        <v>170</v>
      </c>
      <c r="H109" s="19" t="s">
        <v>381</v>
      </c>
      <c r="I109" s="50">
        <v>46203</v>
      </c>
      <c r="J109" s="2">
        <v>1</v>
      </c>
      <c r="K109" s="2" t="s">
        <v>136</v>
      </c>
      <c r="L109" s="2" t="s">
        <v>170</v>
      </c>
      <c r="M109" s="2" t="s">
        <v>358</v>
      </c>
      <c r="N109" s="22" t="s">
        <v>76</v>
      </c>
      <c r="O109" s="1" t="s">
        <v>382</v>
      </c>
    </row>
    <row r="110" spans="2:15" x14ac:dyDescent="0.3">
      <c r="B110" s="1" t="s">
        <v>25</v>
      </c>
      <c r="C110" s="19" t="str">
        <f ca="1">VLOOKUP('บันทึกของเข้า-ออก'!B110,สรุป!C:E,3,0)</f>
        <v>แผ่น</v>
      </c>
      <c r="D110" s="23">
        <v>46203</v>
      </c>
      <c r="E110" s="2">
        <v>45</v>
      </c>
      <c r="F110" s="2" t="s">
        <v>333</v>
      </c>
      <c r="G110" s="2" t="s">
        <v>105</v>
      </c>
      <c r="H110" s="19" t="s">
        <v>381</v>
      </c>
      <c r="I110" s="50">
        <v>46203</v>
      </c>
      <c r="J110" s="2">
        <v>45</v>
      </c>
      <c r="K110" s="2" t="s">
        <v>333</v>
      </c>
      <c r="L110" s="2" t="s">
        <v>105</v>
      </c>
      <c r="M110" s="2" t="s">
        <v>358</v>
      </c>
      <c r="N110" s="22" t="s">
        <v>76</v>
      </c>
      <c r="O110" s="1" t="s">
        <v>388</v>
      </c>
    </row>
    <row r="111" spans="2:15" x14ac:dyDescent="0.3">
      <c r="B111" s="1" t="s">
        <v>44</v>
      </c>
      <c r="C111" s="19" t="str">
        <f ca="1">VLOOKUP('บันทึกของเข้า-ออก'!B111,สรุป!C:E,3,0)</f>
        <v>ตัว</v>
      </c>
      <c r="D111" s="23">
        <v>46203</v>
      </c>
      <c r="E111" s="2">
        <v>1</v>
      </c>
      <c r="F111" s="2" t="s">
        <v>3</v>
      </c>
      <c r="G111" s="2" t="s">
        <v>333</v>
      </c>
      <c r="H111" s="19" t="s">
        <v>354</v>
      </c>
      <c r="I111" s="50">
        <v>46203</v>
      </c>
      <c r="J111" s="2">
        <v>1</v>
      </c>
      <c r="K111" s="2" t="s">
        <v>3</v>
      </c>
      <c r="L111" s="2" t="s">
        <v>333</v>
      </c>
      <c r="M111" s="2" t="s">
        <v>358</v>
      </c>
      <c r="N111" s="22" t="s">
        <v>76</v>
      </c>
      <c r="O111" s="1" t="s">
        <v>389</v>
      </c>
    </row>
    <row r="112" spans="2:15" x14ac:dyDescent="0.3">
      <c r="B112" s="1" t="s">
        <v>22</v>
      </c>
      <c r="C112" s="19" t="str">
        <f ca="1">VLOOKUP('บันทึกของเข้า-ออก'!B112,สรุป!C:E,3,0)</f>
        <v>ตัว</v>
      </c>
      <c r="D112" s="23">
        <v>46204</v>
      </c>
      <c r="E112" s="2">
        <v>30</v>
      </c>
      <c r="F112" s="2" t="s">
        <v>5</v>
      </c>
      <c r="G112" s="2" t="s">
        <v>333</v>
      </c>
      <c r="H112" s="19" t="s">
        <v>354</v>
      </c>
      <c r="I112" s="50">
        <v>46204</v>
      </c>
      <c r="J112" s="2">
        <v>30</v>
      </c>
      <c r="K112" s="2" t="s">
        <v>5</v>
      </c>
      <c r="L112" s="2" t="s">
        <v>333</v>
      </c>
      <c r="M112" s="2" t="s">
        <v>358</v>
      </c>
      <c r="N112" s="22" t="s">
        <v>76</v>
      </c>
      <c r="O112" s="1"/>
    </row>
    <row r="113" spans="2:15" x14ac:dyDescent="0.3">
      <c r="B113" s="1" t="s">
        <v>23</v>
      </c>
      <c r="C113" s="19" t="str">
        <f ca="1">VLOOKUP('บันทึกของเข้า-ออก'!B113,สรุป!C:E,3,0)</f>
        <v>ตัว</v>
      </c>
      <c r="D113" s="23">
        <v>46204</v>
      </c>
      <c r="E113" s="2">
        <v>360</v>
      </c>
      <c r="F113" s="2" t="s">
        <v>3</v>
      </c>
      <c r="G113" s="2" t="s">
        <v>333</v>
      </c>
      <c r="H113" s="19" t="s">
        <v>354</v>
      </c>
      <c r="I113" s="50">
        <v>46204</v>
      </c>
      <c r="J113" s="2">
        <v>360</v>
      </c>
      <c r="K113" s="2" t="s">
        <v>3</v>
      </c>
      <c r="L113" s="2" t="s">
        <v>333</v>
      </c>
      <c r="M113" s="2" t="s">
        <v>358</v>
      </c>
      <c r="N113" s="22" t="s">
        <v>76</v>
      </c>
      <c r="O113" s="1"/>
    </row>
    <row r="114" spans="2:15" x14ac:dyDescent="0.3">
      <c r="B114" s="1" t="s">
        <v>21</v>
      </c>
      <c r="C114" s="19" t="str">
        <f ca="1">VLOOKUP('บันทึกของเข้า-ออก'!B114,สรุป!C:E,3,0)</f>
        <v>ตัว</v>
      </c>
      <c r="D114" s="23">
        <v>46204</v>
      </c>
      <c r="E114" s="2">
        <v>25</v>
      </c>
      <c r="F114" s="2" t="s">
        <v>3</v>
      </c>
      <c r="G114" s="2" t="s">
        <v>333</v>
      </c>
      <c r="H114" s="19" t="s">
        <v>354</v>
      </c>
      <c r="I114" s="50">
        <v>46204</v>
      </c>
      <c r="J114" s="2">
        <v>25</v>
      </c>
      <c r="K114" s="2" t="s">
        <v>3</v>
      </c>
      <c r="L114" s="2" t="s">
        <v>333</v>
      </c>
      <c r="M114" s="2" t="s">
        <v>358</v>
      </c>
      <c r="N114" s="22" t="s">
        <v>76</v>
      </c>
      <c r="O114" s="1"/>
    </row>
    <row r="115" spans="2:15" x14ac:dyDescent="0.3">
      <c r="B115" s="1" t="s">
        <v>23</v>
      </c>
      <c r="C115" s="19" t="str">
        <f ca="1">VLOOKUP('บันทึกของเข้า-ออก'!B115,สรุป!C:E,3,0)</f>
        <v>ตัว</v>
      </c>
      <c r="D115" s="23">
        <v>46205</v>
      </c>
      <c r="E115" s="2">
        <v>240</v>
      </c>
      <c r="F115" s="2" t="s">
        <v>333</v>
      </c>
      <c r="G115" s="2" t="s">
        <v>136</v>
      </c>
      <c r="H115" s="19" t="s">
        <v>390</v>
      </c>
      <c r="I115" s="50">
        <v>46205</v>
      </c>
      <c r="J115" s="2">
        <v>240</v>
      </c>
      <c r="K115" s="2" t="s">
        <v>333</v>
      </c>
      <c r="L115" s="2" t="s">
        <v>136</v>
      </c>
      <c r="M115" s="2" t="s">
        <v>358</v>
      </c>
      <c r="N115" s="22" t="s">
        <v>76</v>
      </c>
      <c r="O115" s="1"/>
    </row>
    <row r="116" spans="2:15" x14ac:dyDescent="0.3">
      <c r="B116" s="1" t="s">
        <v>45</v>
      </c>
      <c r="C116" s="19" t="str">
        <f ca="1">VLOOKUP('บันทึกของเข้า-ออก'!B116,สรุป!C:E,3,0)</f>
        <v>ตัว</v>
      </c>
      <c r="D116" s="23">
        <v>46209</v>
      </c>
      <c r="E116" s="2">
        <v>1</v>
      </c>
      <c r="F116" s="2" t="s">
        <v>333</v>
      </c>
      <c r="G116" s="2" t="s">
        <v>136</v>
      </c>
      <c r="H116" s="19" t="s">
        <v>358</v>
      </c>
      <c r="I116" s="50">
        <v>46209</v>
      </c>
      <c r="J116" s="2">
        <v>1</v>
      </c>
      <c r="K116" s="2" t="s">
        <v>333</v>
      </c>
      <c r="L116" s="2" t="s">
        <v>136</v>
      </c>
      <c r="M116" s="2" t="s">
        <v>358</v>
      </c>
      <c r="N116" s="22" t="s">
        <v>76</v>
      </c>
      <c r="O116" s="1"/>
    </row>
    <row r="117" spans="2:15" x14ac:dyDescent="0.3">
      <c r="B117" s="1" t="s">
        <v>242</v>
      </c>
      <c r="C117" s="19" t="str">
        <f ca="1">VLOOKUP('บันทึกของเข้า-ออก'!B117,สรุป!C:E,3,0)</f>
        <v>ตัว</v>
      </c>
      <c r="D117" s="23">
        <v>46209</v>
      </c>
      <c r="E117" s="2">
        <v>1</v>
      </c>
      <c r="F117" s="2" t="s">
        <v>333</v>
      </c>
      <c r="G117" s="2" t="s">
        <v>136</v>
      </c>
      <c r="H117" s="19" t="s">
        <v>358</v>
      </c>
      <c r="I117" s="50">
        <v>46209</v>
      </c>
      <c r="J117" s="2">
        <v>1</v>
      </c>
      <c r="K117" s="2" t="s">
        <v>333</v>
      </c>
      <c r="L117" s="2" t="s">
        <v>136</v>
      </c>
      <c r="M117" s="2" t="s">
        <v>358</v>
      </c>
      <c r="N117" s="22" t="s">
        <v>76</v>
      </c>
      <c r="O117" s="1"/>
    </row>
    <row r="118" spans="2:15" x14ac:dyDescent="0.3">
      <c r="B118" s="1" t="s">
        <v>110</v>
      </c>
      <c r="C118" s="19" t="str">
        <f ca="1">VLOOKUP('บันทึกของเข้า-ออก'!B118,สรุป!C:E,3,0)</f>
        <v>ตัว</v>
      </c>
      <c r="D118" s="23">
        <v>46209</v>
      </c>
      <c r="E118" s="2">
        <v>1</v>
      </c>
      <c r="F118" s="2" t="s">
        <v>333</v>
      </c>
      <c r="G118" s="2" t="s">
        <v>136</v>
      </c>
      <c r="H118" s="19" t="s">
        <v>358</v>
      </c>
      <c r="I118" s="50">
        <v>46209</v>
      </c>
      <c r="J118" s="2">
        <v>1</v>
      </c>
      <c r="K118" s="2" t="s">
        <v>333</v>
      </c>
      <c r="L118" s="2" t="s">
        <v>136</v>
      </c>
      <c r="M118" s="2" t="s">
        <v>358</v>
      </c>
      <c r="N118" s="22" t="s">
        <v>76</v>
      </c>
      <c r="O118" s="1"/>
    </row>
    <row r="119" spans="2:15" x14ac:dyDescent="0.3">
      <c r="B119" s="1" t="s">
        <v>193</v>
      </c>
      <c r="C119" s="19" t="str">
        <f ca="1">VLOOKUP('บันทึกของเข้า-ออก'!B119,สรุป!C:E,3,0)</f>
        <v>ล้อ</v>
      </c>
      <c r="D119" s="23">
        <v>46209</v>
      </c>
      <c r="E119" s="2">
        <v>8</v>
      </c>
      <c r="F119" s="2" t="s">
        <v>3</v>
      </c>
      <c r="G119" s="2" t="s">
        <v>329</v>
      </c>
      <c r="H119" s="19" t="s">
        <v>358</v>
      </c>
      <c r="I119" s="50">
        <v>46209</v>
      </c>
      <c r="J119" s="2">
        <v>8</v>
      </c>
      <c r="K119" s="2" t="s">
        <v>333</v>
      </c>
      <c r="L119" s="2" t="s">
        <v>329</v>
      </c>
      <c r="M119" s="2" t="s">
        <v>358</v>
      </c>
      <c r="N119" s="22" t="s">
        <v>76</v>
      </c>
      <c r="O119" s="1"/>
    </row>
    <row r="120" spans="2:15" x14ac:dyDescent="0.3">
      <c r="B120" s="1" t="s">
        <v>24</v>
      </c>
      <c r="C120" s="19" t="str">
        <f ca="1">VLOOKUP('บันทึกของเข้า-ออก'!B120,สรุป!C:E,3,0)</f>
        <v>อัน</v>
      </c>
      <c r="D120" s="23">
        <v>46210</v>
      </c>
      <c r="E120" s="2">
        <v>25</v>
      </c>
      <c r="F120" s="2" t="s">
        <v>170</v>
      </c>
      <c r="G120" s="2" t="s">
        <v>333</v>
      </c>
      <c r="H120" s="19" t="s">
        <v>358</v>
      </c>
      <c r="I120" s="50">
        <v>46210</v>
      </c>
      <c r="J120" s="2">
        <v>25</v>
      </c>
      <c r="K120" s="2" t="s">
        <v>170</v>
      </c>
      <c r="L120" s="2" t="s">
        <v>333</v>
      </c>
      <c r="M120" s="2" t="s">
        <v>358</v>
      </c>
      <c r="N120" s="22" t="s">
        <v>76</v>
      </c>
      <c r="O120" s="1"/>
    </row>
    <row r="121" spans="2:15" x14ac:dyDescent="0.3">
      <c r="B121" s="1" t="s">
        <v>45</v>
      </c>
      <c r="C121" s="19" t="str">
        <f ca="1">VLOOKUP('บันทึกของเข้า-ออก'!B121,สรุป!C:E,3,0)</f>
        <v>ตัว</v>
      </c>
      <c r="D121" s="23">
        <v>46210</v>
      </c>
      <c r="E121" s="2">
        <v>1</v>
      </c>
      <c r="F121" s="2" t="s">
        <v>170</v>
      </c>
      <c r="G121" s="2" t="s">
        <v>329</v>
      </c>
      <c r="H121" s="19" t="s">
        <v>358</v>
      </c>
      <c r="I121" s="50">
        <v>46210</v>
      </c>
      <c r="J121" s="2">
        <v>1</v>
      </c>
      <c r="K121" s="2" t="s">
        <v>170</v>
      </c>
      <c r="L121" s="2" t="s">
        <v>329</v>
      </c>
      <c r="M121" s="2" t="s">
        <v>358</v>
      </c>
      <c r="N121" s="22" t="s">
        <v>76</v>
      </c>
      <c r="O121" s="1" t="s">
        <v>393</v>
      </c>
    </row>
    <row r="122" spans="2:15" x14ac:dyDescent="0.3">
      <c r="B122" s="1" t="s">
        <v>287</v>
      </c>
      <c r="C122" s="19" t="str">
        <f ca="1">VLOOKUP('บันทึกของเข้า-ออก'!B122,สรุป!C:E,3,0)</f>
        <v>ตัว</v>
      </c>
      <c r="D122" s="23"/>
      <c r="E122" s="2"/>
      <c r="F122" s="2"/>
      <c r="G122" s="2"/>
      <c r="H122" s="19"/>
      <c r="I122" s="50">
        <v>46210</v>
      </c>
      <c r="J122" s="2">
        <v>1</v>
      </c>
      <c r="K122" s="2" t="s">
        <v>175</v>
      </c>
      <c r="L122" s="2" t="s">
        <v>136</v>
      </c>
      <c r="M122" s="2" t="s">
        <v>358</v>
      </c>
      <c r="N122" s="22" t="s">
        <v>76</v>
      </c>
      <c r="O122" s="1"/>
    </row>
    <row r="123" spans="2:15" x14ac:dyDescent="0.3">
      <c r="B123" s="1" t="s">
        <v>287</v>
      </c>
      <c r="C123" s="19" t="str">
        <f ca="1">VLOOKUP('บันทึกของเข้า-ออก'!B123,สรุป!C:E,3,0)</f>
        <v>ตัว</v>
      </c>
      <c r="D123" s="23">
        <v>46211</v>
      </c>
      <c r="E123" s="2">
        <v>1</v>
      </c>
      <c r="F123" s="2" t="s">
        <v>136</v>
      </c>
      <c r="G123" s="2" t="s">
        <v>5</v>
      </c>
      <c r="H123" s="19" t="s">
        <v>358</v>
      </c>
      <c r="I123" s="50">
        <v>46211</v>
      </c>
      <c r="J123" s="2">
        <v>1</v>
      </c>
      <c r="K123" s="2" t="s">
        <v>136</v>
      </c>
      <c r="L123" s="2" t="s">
        <v>5</v>
      </c>
      <c r="M123" s="2" t="s">
        <v>358</v>
      </c>
      <c r="N123" s="22" t="s">
        <v>76</v>
      </c>
      <c r="O123" s="1" t="s">
        <v>394</v>
      </c>
    </row>
    <row r="124" spans="2:15" x14ac:dyDescent="0.3">
      <c r="B124" s="1" t="s">
        <v>45</v>
      </c>
      <c r="C124" s="19" t="str">
        <f ca="1">VLOOKUP('บันทึกของเข้า-ออก'!B124,สรุป!C:E,3,0)</f>
        <v>ตัว</v>
      </c>
      <c r="D124" s="23">
        <v>46211</v>
      </c>
      <c r="E124" s="2">
        <v>1</v>
      </c>
      <c r="F124" s="2" t="s">
        <v>136</v>
      </c>
      <c r="G124" s="2" t="s">
        <v>5</v>
      </c>
      <c r="H124" s="19" t="s">
        <v>358</v>
      </c>
      <c r="I124" s="50">
        <v>46211</v>
      </c>
      <c r="J124" s="2">
        <v>1</v>
      </c>
      <c r="K124" s="2" t="s">
        <v>136</v>
      </c>
      <c r="L124" s="2" t="s">
        <v>5</v>
      </c>
      <c r="M124" s="2" t="s">
        <v>358</v>
      </c>
      <c r="N124" s="22" t="s">
        <v>76</v>
      </c>
      <c r="O124" s="1" t="s">
        <v>394</v>
      </c>
    </row>
    <row r="125" spans="2:15" x14ac:dyDescent="0.3">
      <c r="B125" s="1" t="s">
        <v>242</v>
      </c>
      <c r="C125" s="19" t="str">
        <f ca="1">VLOOKUP('บันทึกของเข้า-ออก'!B125,สรุป!C:E,3,0)</f>
        <v>ตัว</v>
      </c>
      <c r="D125" s="23">
        <v>46211</v>
      </c>
      <c r="E125" s="2">
        <v>1</v>
      </c>
      <c r="F125" s="2" t="s">
        <v>136</v>
      </c>
      <c r="G125" s="2" t="s">
        <v>5</v>
      </c>
      <c r="H125" s="19" t="s">
        <v>358</v>
      </c>
      <c r="I125" s="50">
        <v>46211</v>
      </c>
      <c r="J125" s="2">
        <v>1</v>
      </c>
      <c r="K125" s="2" t="s">
        <v>136</v>
      </c>
      <c r="L125" s="2" t="s">
        <v>5</v>
      </c>
      <c r="M125" s="2" t="s">
        <v>358</v>
      </c>
      <c r="N125" s="22" t="s">
        <v>76</v>
      </c>
      <c r="O125" s="1" t="s">
        <v>394</v>
      </c>
    </row>
    <row r="126" spans="2:15" x14ac:dyDescent="0.3">
      <c r="B126" s="1" t="s">
        <v>110</v>
      </c>
      <c r="C126" s="19" t="str">
        <f ca="1">VLOOKUP('บันทึกของเข้า-ออก'!B126,สรุป!C:E,3,0)</f>
        <v>ตัว</v>
      </c>
      <c r="D126" s="23">
        <v>46211</v>
      </c>
      <c r="E126" s="2">
        <v>1</v>
      </c>
      <c r="F126" s="2" t="s">
        <v>136</v>
      </c>
      <c r="G126" s="2" t="s">
        <v>5</v>
      </c>
      <c r="H126" s="19" t="s">
        <v>358</v>
      </c>
      <c r="I126" s="50">
        <v>46211</v>
      </c>
      <c r="J126" s="2">
        <v>1</v>
      </c>
      <c r="K126" s="2" t="s">
        <v>136</v>
      </c>
      <c r="L126" s="2" t="s">
        <v>5</v>
      </c>
      <c r="M126" s="2" t="s">
        <v>358</v>
      </c>
      <c r="N126" s="22" t="s">
        <v>76</v>
      </c>
      <c r="O126" s="1" t="s">
        <v>394</v>
      </c>
    </row>
    <row r="127" spans="2:15" x14ac:dyDescent="0.3">
      <c r="B127" s="1" t="s">
        <v>141</v>
      </c>
      <c r="C127" s="19" t="str">
        <f ca="1">VLOOKUP('บันทึกของเข้า-ออก'!B127,สรุป!C:E,3,0)</f>
        <v>ม้วน</v>
      </c>
      <c r="D127" s="23">
        <v>46211</v>
      </c>
      <c r="E127" s="2">
        <v>2</v>
      </c>
      <c r="F127" s="2" t="s">
        <v>136</v>
      </c>
      <c r="G127" s="2" t="s">
        <v>5</v>
      </c>
      <c r="H127" s="19" t="s">
        <v>358</v>
      </c>
      <c r="I127" s="50">
        <v>46211</v>
      </c>
      <c r="J127" s="2">
        <v>2</v>
      </c>
      <c r="K127" s="2" t="s">
        <v>136</v>
      </c>
      <c r="L127" s="2" t="s">
        <v>5</v>
      </c>
      <c r="M127" s="2" t="s">
        <v>358</v>
      </c>
      <c r="N127" s="22" t="s">
        <v>76</v>
      </c>
      <c r="O127" s="1" t="s">
        <v>394</v>
      </c>
    </row>
    <row r="128" spans="2:15" x14ac:dyDescent="0.3">
      <c r="B128" s="1" t="s">
        <v>242</v>
      </c>
      <c r="C128" s="19" t="str">
        <f ca="1">VLOOKUP('บันทึกของเข้า-ออก'!B128,สรุป!C:E,3,0)</f>
        <v>ตัว</v>
      </c>
      <c r="D128" s="23">
        <v>46211</v>
      </c>
      <c r="E128" s="2">
        <v>1</v>
      </c>
      <c r="F128" s="2" t="s">
        <v>333</v>
      </c>
      <c r="G128" s="2" t="s">
        <v>329</v>
      </c>
      <c r="H128" s="19" t="s">
        <v>390</v>
      </c>
      <c r="I128" s="50">
        <v>46211</v>
      </c>
      <c r="J128" s="2">
        <v>1</v>
      </c>
      <c r="K128" s="2" t="s">
        <v>333</v>
      </c>
      <c r="L128" s="2" t="s">
        <v>329</v>
      </c>
      <c r="M128" s="2" t="s">
        <v>358</v>
      </c>
      <c r="N128" s="22" t="s">
        <v>76</v>
      </c>
      <c r="O128" s="1"/>
    </row>
    <row r="129" spans="2:15" x14ac:dyDescent="0.3">
      <c r="B129" s="1" t="s">
        <v>18</v>
      </c>
      <c r="C129" s="19" t="str">
        <f ca="1">VLOOKUP('บันทึกของเข้า-ออก'!B129,สรุป!C:E,3,0)</f>
        <v>ขา</v>
      </c>
      <c r="D129" s="23">
        <v>46211</v>
      </c>
      <c r="E129" s="2">
        <v>12</v>
      </c>
      <c r="F129" s="2" t="s">
        <v>5</v>
      </c>
      <c r="G129" s="2" t="s">
        <v>329</v>
      </c>
      <c r="H129" s="19" t="s">
        <v>390</v>
      </c>
      <c r="I129" s="50">
        <v>46211</v>
      </c>
      <c r="J129" s="2">
        <v>12</v>
      </c>
      <c r="K129" s="2" t="s">
        <v>5</v>
      </c>
      <c r="L129" s="2" t="s">
        <v>329</v>
      </c>
      <c r="M129" s="2" t="s">
        <v>358</v>
      </c>
      <c r="N129" s="22" t="s">
        <v>76</v>
      </c>
      <c r="O129" s="1"/>
    </row>
    <row r="130" spans="2:15" x14ac:dyDescent="0.3">
      <c r="B130" s="1" t="s">
        <v>186</v>
      </c>
      <c r="C130" s="19" t="str">
        <f ca="1">VLOOKUP('บันทึกของเข้า-ออก'!B130,สรุป!C:E,3,0)</f>
        <v>คู่</v>
      </c>
      <c r="D130" s="23">
        <v>46211</v>
      </c>
      <c r="E130" s="2">
        <v>12</v>
      </c>
      <c r="F130" s="2" t="s">
        <v>5</v>
      </c>
      <c r="G130" s="2" t="s">
        <v>329</v>
      </c>
      <c r="H130" s="19" t="s">
        <v>390</v>
      </c>
      <c r="I130" s="50">
        <v>46211</v>
      </c>
      <c r="J130" s="2">
        <v>12</v>
      </c>
      <c r="K130" s="2" t="s">
        <v>5</v>
      </c>
      <c r="L130" s="2" t="s">
        <v>329</v>
      </c>
      <c r="M130" s="2" t="s">
        <v>358</v>
      </c>
      <c r="N130" s="22" t="s">
        <v>76</v>
      </c>
      <c r="O130" s="1"/>
    </row>
    <row r="131" spans="2:15" x14ac:dyDescent="0.3">
      <c r="B131" s="1" t="s">
        <v>20</v>
      </c>
      <c r="C131" s="19" t="str">
        <f ca="1">VLOOKUP('บันทึกของเข้า-ออก'!B131,สรุป!C:E,3,0)</f>
        <v>ตัว</v>
      </c>
      <c r="D131" s="23">
        <v>46211</v>
      </c>
      <c r="E131" s="2">
        <v>24</v>
      </c>
      <c r="F131" s="2" t="s">
        <v>5</v>
      </c>
      <c r="G131" s="2" t="s">
        <v>329</v>
      </c>
      <c r="H131" s="19" t="s">
        <v>390</v>
      </c>
      <c r="I131" s="50">
        <v>46211</v>
      </c>
      <c r="J131" s="2">
        <v>24</v>
      </c>
      <c r="K131" s="2" t="s">
        <v>5</v>
      </c>
      <c r="L131" s="2" t="s">
        <v>329</v>
      </c>
      <c r="M131" s="2" t="s">
        <v>358</v>
      </c>
      <c r="N131" s="22" t="s">
        <v>76</v>
      </c>
      <c r="O131" s="1"/>
    </row>
    <row r="132" spans="2:15" x14ac:dyDescent="0.3">
      <c r="B132" s="1" t="s">
        <v>24</v>
      </c>
      <c r="C132" s="19" t="str">
        <f ca="1">VLOOKUP('บันทึกของเข้า-ออก'!B132,สรุป!C:E,3,0)</f>
        <v>อัน</v>
      </c>
      <c r="D132" s="23">
        <v>46211</v>
      </c>
      <c r="E132" s="2">
        <v>3</v>
      </c>
      <c r="F132" s="2" t="s">
        <v>5</v>
      </c>
      <c r="G132" s="2" t="s">
        <v>329</v>
      </c>
      <c r="H132" s="19" t="s">
        <v>390</v>
      </c>
      <c r="I132" s="50">
        <v>46211</v>
      </c>
      <c r="J132" s="2">
        <v>3</v>
      </c>
      <c r="K132" s="2" t="s">
        <v>5</v>
      </c>
      <c r="L132" s="2" t="s">
        <v>329</v>
      </c>
      <c r="M132" s="2" t="s">
        <v>358</v>
      </c>
      <c r="N132" s="22" t="s">
        <v>76</v>
      </c>
      <c r="O132" s="1"/>
    </row>
    <row r="133" spans="2:15" x14ac:dyDescent="0.3">
      <c r="B133" s="1" t="s">
        <v>187</v>
      </c>
      <c r="C133" s="19" t="str">
        <f ca="1">VLOOKUP('บันทึกของเข้า-ออก'!B133,สรุป!C:E,3,0)</f>
        <v>คู่</v>
      </c>
      <c r="D133" s="23">
        <v>46212</v>
      </c>
      <c r="E133" s="2"/>
      <c r="F133" s="2"/>
      <c r="G133" s="2"/>
      <c r="H133" s="19"/>
      <c r="I133" s="50">
        <v>46212</v>
      </c>
      <c r="J133" s="2">
        <v>106</v>
      </c>
      <c r="K133" s="2" t="s">
        <v>175</v>
      </c>
      <c r="L133" s="2" t="s">
        <v>333</v>
      </c>
      <c r="M133" s="2" t="s">
        <v>358</v>
      </c>
      <c r="N133" s="22" t="s">
        <v>76</v>
      </c>
      <c r="O133" s="1" t="s">
        <v>395</v>
      </c>
    </row>
    <row r="134" spans="2:15" x14ac:dyDescent="0.3">
      <c r="B134" s="1" t="s">
        <v>224</v>
      </c>
      <c r="C134" s="19" t="str">
        <f ca="1">VLOOKUP('บันทึกของเข้า-ออก'!B134,สรุป!C:E,3,0)</f>
        <v>แผ่น</v>
      </c>
      <c r="D134" s="23">
        <v>46212</v>
      </c>
      <c r="E134" s="2">
        <v>10</v>
      </c>
      <c r="F134" s="2" t="s">
        <v>333</v>
      </c>
      <c r="G134" s="2" t="s">
        <v>5</v>
      </c>
      <c r="H134" s="19" t="s">
        <v>354</v>
      </c>
      <c r="I134" s="50">
        <v>46212</v>
      </c>
      <c r="J134" s="2">
        <v>10</v>
      </c>
      <c r="K134" s="2" t="s">
        <v>333</v>
      </c>
      <c r="L134" s="2" t="s">
        <v>5</v>
      </c>
      <c r="M134" s="2" t="s">
        <v>358</v>
      </c>
      <c r="N134" s="22" t="s">
        <v>76</v>
      </c>
      <c r="O134" s="1"/>
    </row>
    <row r="135" spans="2:15" x14ac:dyDescent="0.3">
      <c r="B135" s="1" t="s">
        <v>336</v>
      </c>
      <c r="C135" s="19" t="str">
        <f ca="1">VLOOKUP('บันทึกของเข้า-ออก'!B135,สรุป!C:E,3,0)</f>
        <v>เครื่อง</v>
      </c>
      <c r="D135" s="23">
        <v>46216</v>
      </c>
      <c r="E135" s="2">
        <v>1</v>
      </c>
      <c r="F135" s="2" t="s">
        <v>170</v>
      </c>
      <c r="G135" s="2" t="s">
        <v>288</v>
      </c>
      <c r="H135" s="19" t="s">
        <v>396</v>
      </c>
      <c r="I135" s="50">
        <v>46216</v>
      </c>
      <c r="J135" s="2">
        <v>1</v>
      </c>
      <c r="K135" s="2" t="s">
        <v>170</v>
      </c>
      <c r="L135" s="2" t="s">
        <v>288</v>
      </c>
      <c r="M135" s="2" t="s">
        <v>358</v>
      </c>
      <c r="N135" s="22" t="s">
        <v>76</v>
      </c>
      <c r="O135" s="1"/>
    </row>
    <row r="136" spans="2:15" x14ac:dyDescent="0.3">
      <c r="B136" s="1" t="s">
        <v>47</v>
      </c>
      <c r="C136" s="19" t="str">
        <f ca="1">VLOOKUP('บันทึกของเข้า-ออก'!B136,สรุป!C:E,3,0)</f>
        <v>เครื่อง</v>
      </c>
      <c r="D136" s="23">
        <v>46216</v>
      </c>
      <c r="E136" s="2">
        <v>1</v>
      </c>
      <c r="F136" s="2" t="s">
        <v>107</v>
      </c>
      <c r="G136" s="2" t="s">
        <v>136</v>
      </c>
      <c r="H136" s="19" t="s">
        <v>358</v>
      </c>
      <c r="I136" s="50">
        <v>46216</v>
      </c>
      <c r="J136" s="2">
        <v>1</v>
      </c>
      <c r="K136" s="2" t="s">
        <v>107</v>
      </c>
      <c r="L136" s="2" t="s">
        <v>136</v>
      </c>
      <c r="M136" s="2" t="s">
        <v>358</v>
      </c>
      <c r="N136" s="22" t="s">
        <v>76</v>
      </c>
      <c r="O136" s="1"/>
    </row>
    <row r="137" spans="2:15" x14ac:dyDescent="0.3">
      <c r="B137" s="1" t="s">
        <v>245</v>
      </c>
      <c r="C137" s="19" t="str">
        <f ca="1">VLOOKUP('บันทึกของเข้า-ออก'!B137,สรุป!C:E,3,0)</f>
        <v>ตัว</v>
      </c>
      <c r="D137" s="23">
        <v>46216</v>
      </c>
      <c r="E137" s="2">
        <v>1</v>
      </c>
      <c r="F137" s="2" t="s">
        <v>107</v>
      </c>
      <c r="G137" s="2" t="s">
        <v>136</v>
      </c>
      <c r="H137" s="19" t="s">
        <v>358</v>
      </c>
      <c r="I137" s="50">
        <v>46216</v>
      </c>
      <c r="J137" s="2">
        <v>1</v>
      </c>
      <c r="K137" s="2" t="s">
        <v>107</v>
      </c>
      <c r="L137" s="2" t="s">
        <v>136</v>
      </c>
      <c r="M137" s="2" t="s">
        <v>358</v>
      </c>
      <c r="N137" s="22" t="s">
        <v>76</v>
      </c>
      <c r="O137" s="1"/>
    </row>
    <row r="138" spans="2:15" x14ac:dyDescent="0.3">
      <c r="B138" s="1" t="s">
        <v>257</v>
      </c>
      <c r="C138" s="19" t="str">
        <f ca="1">VLOOKUP('บันทึกของเข้า-ออก'!B138,สรุป!C:E,3,0)</f>
        <v>ตัว</v>
      </c>
      <c r="D138" s="23">
        <v>46217</v>
      </c>
      <c r="E138" s="2">
        <v>1</v>
      </c>
      <c r="F138" s="2" t="s">
        <v>333</v>
      </c>
      <c r="G138" s="2" t="s">
        <v>5</v>
      </c>
      <c r="H138" s="19" t="s">
        <v>358</v>
      </c>
      <c r="I138" s="50">
        <v>46217</v>
      </c>
      <c r="J138" s="2">
        <v>1</v>
      </c>
      <c r="K138" s="2" t="s">
        <v>333</v>
      </c>
      <c r="L138" s="2" t="s">
        <v>5</v>
      </c>
      <c r="M138" s="2" t="s">
        <v>358</v>
      </c>
      <c r="N138" s="22" t="s">
        <v>76</v>
      </c>
      <c r="O138" s="1"/>
    </row>
    <row r="139" spans="2:15" x14ac:dyDescent="0.3">
      <c r="B139" s="1" t="s">
        <v>316</v>
      </c>
      <c r="C139" s="19" t="str">
        <f ca="1">VLOOKUP('บันทึกของเข้า-ออก'!B139,สรุป!C:E,3,0)</f>
        <v>เครื่อง</v>
      </c>
      <c r="D139" s="23">
        <v>46217</v>
      </c>
      <c r="E139" s="2">
        <v>1</v>
      </c>
      <c r="F139" s="2" t="s">
        <v>288</v>
      </c>
      <c r="G139" s="2" t="s">
        <v>5</v>
      </c>
      <c r="H139" s="19" t="s">
        <v>358</v>
      </c>
      <c r="I139" s="50">
        <v>46217</v>
      </c>
      <c r="J139" s="2">
        <v>1</v>
      </c>
      <c r="K139" s="2" t="s">
        <v>288</v>
      </c>
      <c r="L139" s="2" t="s">
        <v>5</v>
      </c>
      <c r="M139" s="2" t="s">
        <v>358</v>
      </c>
      <c r="N139" s="22" t="s">
        <v>76</v>
      </c>
      <c r="O139" s="1"/>
    </row>
    <row r="140" spans="2:15" x14ac:dyDescent="0.3">
      <c r="B140" s="1" t="s">
        <v>397</v>
      </c>
      <c r="C140" s="19" t="s">
        <v>251</v>
      </c>
      <c r="D140" s="23">
        <v>46217</v>
      </c>
      <c r="E140" s="2">
        <v>1</v>
      </c>
      <c r="F140" s="2"/>
      <c r="G140" s="2"/>
      <c r="H140" s="19"/>
      <c r="I140" s="50">
        <v>46217</v>
      </c>
      <c r="J140" s="2">
        <v>1</v>
      </c>
      <c r="K140" s="2" t="s">
        <v>175</v>
      </c>
      <c r="L140" s="2" t="s">
        <v>5</v>
      </c>
      <c r="M140" s="2" t="s">
        <v>358</v>
      </c>
      <c r="N140" s="22" t="s">
        <v>76</v>
      </c>
      <c r="O140" s="1"/>
    </row>
    <row r="141" spans="2:15" x14ac:dyDescent="0.3">
      <c r="B141" s="1" t="s">
        <v>236</v>
      </c>
      <c r="C141" s="19" t="str">
        <f ca="1">VLOOKUP('บันทึกของเข้า-ออก'!B141,สรุป!C:E,3,0)</f>
        <v>ตัว</v>
      </c>
      <c r="D141" s="23">
        <v>46217</v>
      </c>
      <c r="E141" s="2">
        <v>1</v>
      </c>
      <c r="F141" s="2" t="s">
        <v>3</v>
      </c>
      <c r="G141" s="2" t="s">
        <v>107</v>
      </c>
      <c r="H141" s="19" t="s">
        <v>358</v>
      </c>
      <c r="I141" s="50">
        <v>46217</v>
      </c>
      <c r="J141" s="2">
        <v>1</v>
      </c>
      <c r="K141" s="2" t="s">
        <v>3</v>
      </c>
      <c r="L141" s="2" t="s">
        <v>107</v>
      </c>
      <c r="M141" s="2" t="s">
        <v>358</v>
      </c>
      <c r="N141" s="22" t="s">
        <v>76</v>
      </c>
      <c r="O141" s="1"/>
    </row>
    <row r="142" spans="2:15" x14ac:dyDescent="0.3">
      <c r="B142" s="1" t="s">
        <v>110</v>
      </c>
      <c r="C142" s="19" t="str">
        <f ca="1">VLOOKUP('บันทึกของเข้า-ออก'!B142,สรุป!C:E,3,0)</f>
        <v>ตัว</v>
      </c>
      <c r="D142" s="23" t="s">
        <v>398</v>
      </c>
      <c r="E142" s="2">
        <v>1</v>
      </c>
      <c r="F142" s="2" t="s">
        <v>3</v>
      </c>
      <c r="G142" s="2" t="s">
        <v>107</v>
      </c>
      <c r="H142" s="19" t="s">
        <v>358</v>
      </c>
      <c r="I142" s="50">
        <v>46217</v>
      </c>
      <c r="J142" s="2">
        <v>1</v>
      </c>
      <c r="K142" s="2" t="s">
        <v>3</v>
      </c>
      <c r="L142" s="2" t="s">
        <v>107</v>
      </c>
      <c r="M142" s="2" t="s">
        <v>358</v>
      </c>
      <c r="N142" s="22" t="s">
        <v>76</v>
      </c>
      <c r="O142" s="1"/>
    </row>
    <row r="143" spans="2:15" x14ac:dyDescent="0.3">
      <c r="B143" s="1" t="s">
        <v>371</v>
      </c>
      <c r="C143" s="19" t="str">
        <f ca="1">VLOOKUP('บันทึกของเข้า-ออก'!B143,สรุป!C:E,3,0)</f>
        <v>ผืน</v>
      </c>
      <c r="D143" s="23">
        <v>46217</v>
      </c>
      <c r="E143" s="2">
        <v>1</v>
      </c>
      <c r="F143" s="2" t="s">
        <v>5</v>
      </c>
      <c r="G143" s="2" t="s">
        <v>105</v>
      </c>
      <c r="H143" s="19" t="s">
        <v>354</v>
      </c>
      <c r="I143" s="50">
        <v>46217</v>
      </c>
      <c r="J143" s="2">
        <v>1</v>
      </c>
      <c r="K143" s="2" t="s">
        <v>5</v>
      </c>
      <c r="L143" s="2" t="s">
        <v>105</v>
      </c>
      <c r="M143" s="2" t="s">
        <v>358</v>
      </c>
      <c r="N143" s="22" t="s">
        <v>76</v>
      </c>
      <c r="O143" s="1"/>
    </row>
    <row r="144" spans="2:15" x14ac:dyDescent="0.3">
      <c r="B144" s="1" t="s">
        <v>30</v>
      </c>
      <c r="C144" s="19" t="str">
        <f ca="1">VLOOKUP('บันทึกของเข้า-ออก'!B144,สรุป!C:E,3,0)</f>
        <v>เส้น</v>
      </c>
      <c r="D144" s="23">
        <v>46217</v>
      </c>
      <c r="E144" s="2">
        <v>12</v>
      </c>
      <c r="F144" s="2" t="s">
        <v>5</v>
      </c>
      <c r="G144" s="2" t="s">
        <v>105</v>
      </c>
      <c r="H144" s="19" t="s">
        <v>354</v>
      </c>
      <c r="I144" s="50">
        <v>46217</v>
      </c>
      <c r="J144" s="2">
        <v>12</v>
      </c>
      <c r="K144" s="2" t="s">
        <v>5</v>
      </c>
      <c r="L144" s="2" t="s">
        <v>105</v>
      </c>
      <c r="M144" s="2" t="s">
        <v>358</v>
      </c>
      <c r="N144" s="22" t="s">
        <v>76</v>
      </c>
      <c r="O144" s="1"/>
    </row>
    <row r="145" spans="2:15" x14ac:dyDescent="0.3">
      <c r="B145" s="1" t="s">
        <v>31</v>
      </c>
      <c r="C145" s="19" t="str">
        <f ca="1">VLOOKUP('บันทึกของเข้า-ออก'!B145,สรุป!C:E,3,0)</f>
        <v>เส้น</v>
      </c>
      <c r="D145" s="23">
        <v>46217</v>
      </c>
      <c r="E145" s="2">
        <v>19</v>
      </c>
      <c r="F145" s="2" t="s">
        <v>5</v>
      </c>
      <c r="G145" s="2" t="s">
        <v>105</v>
      </c>
      <c r="H145" s="19" t="s">
        <v>354</v>
      </c>
      <c r="I145" s="50">
        <v>46217</v>
      </c>
      <c r="J145" s="2">
        <v>19</v>
      </c>
      <c r="K145" s="2" t="s">
        <v>5</v>
      </c>
      <c r="L145" s="2" t="s">
        <v>105</v>
      </c>
      <c r="M145" s="2" t="s">
        <v>358</v>
      </c>
      <c r="N145" s="22" t="s">
        <v>76</v>
      </c>
      <c r="O145" s="1"/>
    </row>
    <row r="146" spans="2:15" x14ac:dyDescent="0.3">
      <c r="B146" s="1" t="s">
        <v>121</v>
      </c>
      <c r="C146" s="19" t="str">
        <f ca="1">VLOOKUP('บันทึกของเข้า-ออก'!B146,สรุป!C:E,3,0)</f>
        <v>เส้น</v>
      </c>
      <c r="D146" s="23">
        <v>46217</v>
      </c>
      <c r="E146" s="2">
        <v>6</v>
      </c>
      <c r="F146" s="2" t="s">
        <v>5</v>
      </c>
      <c r="G146" s="2" t="s">
        <v>105</v>
      </c>
      <c r="H146" s="19" t="s">
        <v>354</v>
      </c>
      <c r="I146" s="50">
        <v>46217</v>
      </c>
      <c r="J146" s="2">
        <v>6</v>
      </c>
      <c r="K146" s="2" t="s">
        <v>5</v>
      </c>
      <c r="L146" s="2" t="s">
        <v>105</v>
      </c>
      <c r="M146" s="2" t="s">
        <v>358</v>
      </c>
      <c r="N146" s="22" t="s">
        <v>76</v>
      </c>
      <c r="O146" s="1"/>
    </row>
    <row r="147" spans="2:15" x14ac:dyDescent="0.3">
      <c r="B147" s="1" t="s">
        <v>32</v>
      </c>
      <c r="C147" s="19" t="str">
        <f ca="1">VLOOKUP('บันทึกของเข้า-ออก'!B147,สรุป!C:E,3,0)</f>
        <v>เส้น</v>
      </c>
      <c r="D147" s="23">
        <v>46217</v>
      </c>
      <c r="E147" s="2">
        <v>13</v>
      </c>
      <c r="F147" s="2" t="s">
        <v>5</v>
      </c>
      <c r="G147" s="2" t="s">
        <v>105</v>
      </c>
      <c r="H147" s="19" t="s">
        <v>354</v>
      </c>
      <c r="I147" s="50">
        <v>46217</v>
      </c>
      <c r="J147" s="2">
        <v>13</v>
      </c>
      <c r="K147" s="2" t="s">
        <v>5</v>
      </c>
      <c r="L147" s="2" t="s">
        <v>105</v>
      </c>
      <c r="M147" s="2" t="s">
        <v>358</v>
      </c>
      <c r="N147" s="22" t="s">
        <v>76</v>
      </c>
      <c r="O147" s="1"/>
    </row>
    <row r="148" spans="2:15" x14ac:dyDescent="0.3">
      <c r="B148" s="1" t="s">
        <v>39</v>
      </c>
      <c r="C148" s="19" t="str">
        <f ca="1">VLOOKUP('บันทึกของเข้า-ออก'!B148,สรุป!C:E,3,0)</f>
        <v>เส้น</v>
      </c>
      <c r="D148" s="23">
        <v>46217</v>
      </c>
      <c r="E148" s="2">
        <v>7</v>
      </c>
      <c r="F148" s="2" t="s">
        <v>5</v>
      </c>
      <c r="G148" s="2" t="s">
        <v>105</v>
      </c>
      <c r="H148" s="19" t="s">
        <v>354</v>
      </c>
      <c r="I148" s="50">
        <v>46217</v>
      </c>
      <c r="J148" s="2">
        <v>7</v>
      </c>
      <c r="K148" s="2" t="s">
        <v>5</v>
      </c>
      <c r="L148" s="2" t="s">
        <v>105</v>
      </c>
      <c r="M148" s="2" t="s">
        <v>358</v>
      </c>
      <c r="N148" s="22" t="s">
        <v>76</v>
      </c>
      <c r="O148" s="1"/>
    </row>
    <row r="149" spans="2:15" x14ac:dyDescent="0.3">
      <c r="B149" s="1" t="s">
        <v>246</v>
      </c>
      <c r="C149" s="19" t="str">
        <f ca="1">VLOOKUP('บันทึกของเข้า-ออก'!B149,สรุป!C:E,3,0)</f>
        <v>ท่อน</v>
      </c>
      <c r="D149" s="23">
        <v>46217</v>
      </c>
      <c r="E149" s="2">
        <v>1</v>
      </c>
      <c r="F149" s="2" t="s">
        <v>5</v>
      </c>
      <c r="G149" s="2" t="s">
        <v>105</v>
      </c>
      <c r="H149" s="19" t="s">
        <v>354</v>
      </c>
      <c r="I149" s="50">
        <v>46217</v>
      </c>
      <c r="J149" s="2">
        <v>1</v>
      </c>
      <c r="K149" s="2" t="s">
        <v>5</v>
      </c>
      <c r="L149" s="2" t="s">
        <v>105</v>
      </c>
      <c r="M149" s="2" t="s">
        <v>358</v>
      </c>
      <c r="N149" s="22" t="s">
        <v>76</v>
      </c>
      <c r="O149" s="1"/>
    </row>
    <row r="150" spans="2:15" x14ac:dyDescent="0.3">
      <c r="B150" s="1" t="s">
        <v>94</v>
      </c>
      <c r="C150" s="19" t="str">
        <f ca="1">VLOOKUP('บันทึกของเข้า-ออก'!B150,สรุป!C:E,3,0)</f>
        <v>เส้น</v>
      </c>
      <c r="D150" s="23">
        <v>46217</v>
      </c>
      <c r="E150" s="2">
        <v>3</v>
      </c>
      <c r="F150" s="2" t="s">
        <v>5</v>
      </c>
      <c r="G150" s="2" t="s">
        <v>105</v>
      </c>
      <c r="H150" s="19" t="s">
        <v>354</v>
      </c>
      <c r="I150" s="50">
        <v>46217</v>
      </c>
      <c r="J150" s="2">
        <v>3</v>
      </c>
      <c r="K150" s="2" t="s">
        <v>5</v>
      </c>
      <c r="L150" s="2" t="s">
        <v>105</v>
      </c>
      <c r="M150" s="2" t="s">
        <v>358</v>
      </c>
      <c r="N150" s="22" t="s">
        <v>76</v>
      </c>
      <c r="O150" s="1"/>
    </row>
    <row r="151" spans="2:15" x14ac:dyDescent="0.3">
      <c r="B151" s="1" t="s">
        <v>25</v>
      </c>
      <c r="C151" s="19" t="str">
        <f ca="1">VLOOKUP('บันทึกของเข้า-ออก'!B151,สรุป!C:E,3,0)</f>
        <v>แผ่น</v>
      </c>
      <c r="D151" s="23">
        <v>46217</v>
      </c>
      <c r="E151" s="2">
        <v>3</v>
      </c>
      <c r="F151" s="2" t="s">
        <v>5</v>
      </c>
      <c r="G151" s="2" t="s">
        <v>105</v>
      </c>
      <c r="H151" s="19" t="s">
        <v>354</v>
      </c>
      <c r="I151" s="50">
        <v>46217</v>
      </c>
      <c r="J151" s="2">
        <v>3</v>
      </c>
      <c r="K151" s="2" t="s">
        <v>5</v>
      </c>
      <c r="L151" s="2" t="s">
        <v>105</v>
      </c>
      <c r="M151" s="2" t="s">
        <v>358</v>
      </c>
      <c r="N151" s="22" t="s">
        <v>76</v>
      </c>
      <c r="O151" s="1"/>
    </row>
    <row r="152" spans="2:15" x14ac:dyDescent="0.3">
      <c r="B152" s="1" t="s">
        <v>151</v>
      </c>
      <c r="C152" s="19" t="str">
        <f ca="1">VLOOKUP('บันทึกของเข้า-ออก'!B152,สรุป!C:E,3,0)</f>
        <v>ตัว</v>
      </c>
      <c r="D152" s="23">
        <v>46217</v>
      </c>
      <c r="E152" s="2">
        <v>10</v>
      </c>
      <c r="F152" s="2" t="s">
        <v>5</v>
      </c>
      <c r="G152" s="2" t="s">
        <v>105</v>
      </c>
      <c r="H152" s="19" t="s">
        <v>354</v>
      </c>
      <c r="I152" s="50">
        <v>46217</v>
      </c>
      <c r="J152" s="2">
        <v>10</v>
      </c>
      <c r="K152" s="2" t="s">
        <v>5</v>
      </c>
      <c r="L152" s="2" t="s">
        <v>105</v>
      </c>
      <c r="M152" s="2" t="s">
        <v>358</v>
      </c>
      <c r="N152" s="22" t="s">
        <v>76</v>
      </c>
      <c r="O152" s="1"/>
    </row>
    <row r="153" spans="2:15" x14ac:dyDescent="0.3">
      <c r="B153" s="1" t="s">
        <v>377</v>
      </c>
      <c r="C153" s="19" t="str">
        <f ca="1">VLOOKUP('บันทึกของเข้า-ออก'!B153,สรุป!C:E,3,0)</f>
        <v>ตัว</v>
      </c>
      <c r="D153" s="23">
        <v>46217</v>
      </c>
      <c r="E153" s="2">
        <v>10</v>
      </c>
      <c r="F153" s="2" t="s">
        <v>5</v>
      </c>
      <c r="G153" s="2" t="s">
        <v>105</v>
      </c>
      <c r="H153" s="19" t="s">
        <v>354</v>
      </c>
      <c r="I153" s="50">
        <v>46217</v>
      </c>
      <c r="J153" s="2">
        <v>10</v>
      </c>
      <c r="K153" s="2" t="s">
        <v>5</v>
      </c>
      <c r="L153" s="2" t="s">
        <v>105</v>
      </c>
      <c r="M153" s="2" t="s">
        <v>358</v>
      </c>
      <c r="N153" s="22" t="s">
        <v>76</v>
      </c>
      <c r="O153" s="1"/>
    </row>
    <row r="154" spans="2:15" x14ac:dyDescent="0.3">
      <c r="B154" s="1" t="s">
        <v>34</v>
      </c>
      <c r="C154" s="19" t="str">
        <f ca="1">VLOOKUP('บันทึกของเข้า-ออก'!B154,สรุป!C:E,3,0)</f>
        <v>อัน</v>
      </c>
      <c r="D154" s="23">
        <v>46217</v>
      </c>
      <c r="E154" s="2">
        <v>2</v>
      </c>
      <c r="F154" s="2" t="s">
        <v>5</v>
      </c>
      <c r="G154" s="2" t="s">
        <v>105</v>
      </c>
      <c r="H154" s="19" t="s">
        <v>354</v>
      </c>
      <c r="I154" s="50">
        <v>46217</v>
      </c>
      <c r="J154" s="2">
        <v>2</v>
      </c>
      <c r="K154" s="2" t="s">
        <v>5</v>
      </c>
      <c r="L154" s="2" t="s">
        <v>105</v>
      </c>
      <c r="M154" s="2" t="s">
        <v>358</v>
      </c>
      <c r="N154" s="22" t="s">
        <v>76</v>
      </c>
      <c r="O154" s="1"/>
    </row>
    <row r="155" spans="2:15" x14ac:dyDescent="0.3">
      <c r="B155" s="1" t="s">
        <v>19</v>
      </c>
      <c r="C155" s="19" t="str">
        <f ca="1">VLOOKUP('บันทึกของเข้า-ออก'!B155,สรุป!C:E,3,0)</f>
        <v>ขา</v>
      </c>
      <c r="D155" s="23">
        <v>46217</v>
      </c>
      <c r="E155" s="2">
        <v>58</v>
      </c>
      <c r="F155" s="2" t="s">
        <v>5</v>
      </c>
      <c r="G155" s="2" t="s">
        <v>105</v>
      </c>
      <c r="H155" s="19" t="s">
        <v>354</v>
      </c>
      <c r="I155" s="50">
        <v>46217</v>
      </c>
      <c r="J155" s="2">
        <v>58</v>
      </c>
      <c r="K155" s="2" t="s">
        <v>5</v>
      </c>
      <c r="L155" s="2" t="s">
        <v>105</v>
      </c>
      <c r="M155" s="2" t="s">
        <v>358</v>
      </c>
      <c r="N155" s="22" t="s">
        <v>76</v>
      </c>
      <c r="O155" s="1"/>
    </row>
    <row r="156" spans="2:15" x14ac:dyDescent="0.3">
      <c r="B156" s="1" t="s">
        <v>18</v>
      </c>
      <c r="C156" s="19" t="str">
        <f ca="1">VLOOKUP('บันทึกของเข้า-ออก'!B156,สรุป!C:E,3,0)</f>
        <v>ขา</v>
      </c>
      <c r="D156" s="23">
        <v>46217</v>
      </c>
      <c r="E156" s="2">
        <v>6</v>
      </c>
      <c r="F156" s="2" t="s">
        <v>5</v>
      </c>
      <c r="G156" s="2" t="s">
        <v>105</v>
      </c>
      <c r="H156" s="19" t="s">
        <v>354</v>
      </c>
      <c r="I156" s="50">
        <v>46217</v>
      </c>
      <c r="J156" s="2">
        <v>6</v>
      </c>
      <c r="K156" s="2" t="s">
        <v>5</v>
      </c>
      <c r="L156" s="2" t="s">
        <v>105</v>
      </c>
      <c r="M156" s="2" t="s">
        <v>358</v>
      </c>
      <c r="N156" s="22" t="s">
        <v>76</v>
      </c>
      <c r="O156" s="1"/>
    </row>
    <row r="157" spans="2:15" x14ac:dyDescent="0.3">
      <c r="B157" s="1" t="s">
        <v>371</v>
      </c>
      <c r="C157" s="19" t="str">
        <f ca="1">VLOOKUP('บันทึกของเข้า-ออก'!B157,สรุป!C:E,3,0)</f>
        <v>ผืน</v>
      </c>
      <c r="D157" s="23">
        <v>46217</v>
      </c>
      <c r="E157" s="2">
        <v>2</v>
      </c>
      <c r="F157" s="2" t="s">
        <v>5</v>
      </c>
      <c r="G157" s="2" t="s">
        <v>105</v>
      </c>
      <c r="H157" s="19" t="s">
        <v>354</v>
      </c>
      <c r="I157" s="50">
        <v>46217</v>
      </c>
      <c r="J157" s="2">
        <v>2</v>
      </c>
      <c r="K157" s="2" t="s">
        <v>5</v>
      </c>
      <c r="L157" s="2" t="s">
        <v>105</v>
      </c>
      <c r="M157" s="2" t="s">
        <v>358</v>
      </c>
      <c r="N157" s="22" t="s">
        <v>76</v>
      </c>
      <c r="O157" s="1"/>
    </row>
    <row r="158" spans="2:15" x14ac:dyDescent="0.3">
      <c r="B158" s="1" t="s">
        <v>24</v>
      </c>
      <c r="C158" s="19" t="str">
        <f ca="1">VLOOKUP('บันทึกของเข้า-ออก'!B158,สรุป!C:E,3,0)</f>
        <v>อัน</v>
      </c>
      <c r="D158" s="23">
        <v>46217</v>
      </c>
      <c r="E158" s="2">
        <v>2</v>
      </c>
      <c r="F158" s="2" t="s">
        <v>5</v>
      </c>
      <c r="G158" s="2" t="s">
        <v>105</v>
      </c>
      <c r="H158" s="19" t="s">
        <v>354</v>
      </c>
      <c r="I158" s="50">
        <v>46217</v>
      </c>
      <c r="J158" s="2">
        <v>2</v>
      </c>
      <c r="K158" s="2" t="s">
        <v>5</v>
      </c>
      <c r="L158" s="2" t="s">
        <v>105</v>
      </c>
      <c r="M158" s="2" t="s">
        <v>358</v>
      </c>
      <c r="N158" s="22" t="s">
        <v>76</v>
      </c>
      <c r="O158" s="1"/>
    </row>
    <row r="159" spans="2:15" x14ac:dyDescent="0.3">
      <c r="B159" s="1" t="s">
        <v>20</v>
      </c>
      <c r="C159" s="19" t="str">
        <f ca="1">VLOOKUP('บันทึกของเข้า-ออก'!B159,สรุป!C:E,3,0)</f>
        <v>ตัว</v>
      </c>
      <c r="D159" s="23">
        <v>46217</v>
      </c>
      <c r="E159" s="2">
        <v>60</v>
      </c>
      <c r="F159" s="2" t="s">
        <v>5</v>
      </c>
      <c r="G159" s="2" t="s">
        <v>105</v>
      </c>
      <c r="H159" s="19" t="s">
        <v>354</v>
      </c>
      <c r="I159" s="50">
        <v>46217</v>
      </c>
      <c r="J159" s="2">
        <v>60</v>
      </c>
      <c r="K159" s="2" t="s">
        <v>5</v>
      </c>
      <c r="L159" s="2" t="s">
        <v>105</v>
      </c>
      <c r="M159" s="2" t="s">
        <v>358</v>
      </c>
      <c r="N159" s="22" t="s">
        <v>76</v>
      </c>
      <c r="O159" s="1"/>
    </row>
    <row r="160" spans="2:15" x14ac:dyDescent="0.3">
      <c r="B160" s="1" t="s">
        <v>186</v>
      </c>
      <c r="C160" s="19" t="str">
        <f ca="1">VLOOKUP('บันทึกของเข้า-ออก'!B160,สรุป!C:E,3,0)</f>
        <v>คู่</v>
      </c>
      <c r="D160" s="23">
        <v>46217</v>
      </c>
      <c r="E160" s="2">
        <v>13</v>
      </c>
      <c r="F160" s="2" t="s">
        <v>5</v>
      </c>
      <c r="G160" s="2" t="s">
        <v>105</v>
      </c>
      <c r="H160" s="19" t="s">
        <v>354</v>
      </c>
      <c r="I160" s="50">
        <v>46217</v>
      </c>
      <c r="J160" s="2">
        <v>13</v>
      </c>
      <c r="K160" s="2" t="s">
        <v>5</v>
      </c>
      <c r="L160" s="2" t="s">
        <v>105</v>
      </c>
      <c r="M160" s="2" t="s">
        <v>358</v>
      </c>
      <c r="N160" s="22" t="s">
        <v>76</v>
      </c>
      <c r="O160" s="1"/>
    </row>
    <row r="161" spans="2:15" x14ac:dyDescent="0.3">
      <c r="B161" s="1" t="s">
        <v>112</v>
      </c>
      <c r="C161" s="19" t="str">
        <f ca="1">VLOOKUP('บันทึกของเข้า-ออก'!B161,สรุป!C:E,3,0)</f>
        <v>ตัว</v>
      </c>
      <c r="D161" s="23">
        <v>46218</v>
      </c>
      <c r="E161" s="2">
        <v>1</v>
      </c>
      <c r="F161" s="2" t="s">
        <v>136</v>
      </c>
      <c r="G161" s="2" t="s">
        <v>333</v>
      </c>
      <c r="H161" s="19" t="s">
        <v>358</v>
      </c>
      <c r="I161" s="50">
        <v>46218</v>
      </c>
      <c r="J161" s="2">
        <v>1</v>
      </c>
      <c r="K161" s="2" t="s">
        <v>136</v>
      </c>
      <c r="L161" s="2" t="s">
        <v>333</v>
      </c>
      <c r="M161" s="2" t="s">
        <v>358</v>
      </c>
      <c r="N161" s="22" t="s">
        <v>76</v>
      </c>
      <c r="O161" s="1"/>
    </row>
    <row r="162" spans="2:15" x14ac:dyDescent="0.3">
      <c r="B162" s="1" t="s">
        <v>236</v>
      </c>
      <c r="C162" s="19" t="str">
        <f ca="1">VLOOKUP('บันทึกของเข้า-ออก'!B162,สรุป!C:E,3,0)</f>
        <v>ตัว</v>
      </c>
      <c r="D162" s="23">
        <v>46218</v>
      </c>
      <c r="E162" s="2">
        <v>2</v>
      </c>
      <c r="F162" s="2" t="s">
        <v>136</v>
      </c>
      <c r="G162" s="2" t="s">
        <v>5</v>
      </c>
      <c r="H162" s="19" t="s">
        <v>358</v>
      </c>
      <c r="I162" s="50">
        <v>46218</v>
      </c>
      <c r="J162" s="2">
        <v>2</v>
      </c>
      <c r="K162" s="2" t="s">
        <v>136</v>
      </c>
      <c r="L162" s="2" t="s">
        <v>5</v>
      </c>
      <c r="M162" s="2" t="s">
        <v>358</v>
      </c>
      <c r="N162" s="90" t="s">
        <v>76</v>
      </c>
      <c r="O162" s="89"/>
    </row>
    <row r="163" spans="2:15" x14ac:dyDescent="0.3">
      <c r="B163" s="1" t="s">
        <v>163</v>
      </c>
      <c r="C163" s="19" t="str">
        <f ca="1">VLOOKUP('บันทึกของเข้า-ออก'!B163,สรุป!C:E,3,0)</f>
        <v>เครื่อง</v>
      </c>
      <c r="D163" s="23">
        <v>46220</v>
      </c>
      <c r="E163" s="2">
        <v>1</v>
      </c>
      <c r="F163" s="2" t="s">
        <v>105</v>
      </c>
      <c r="G163" s="2" t="s">
        <v>329</v>
      </c>
      <c r="H163" s="19" t="s">
        <v>390</v>
      </c>
      <c r="I163" s="50">
        <v>46220</v>
      </c>
      <c r="J163" s="88">
        <v>1</v>
      </c>
      <c r="K163" s="2" t="s">
        <v>136</v>
      </c>
      <c r="L163" s="2" t="s">
        <v>329</v>
      </c>
      <c r="M163" s="2" t="s">
        <v>358</v>
      </c>
      <c r="N163" s="90" t="s">
        <v>76</v>
      </c>
      <c r="O163" s="93"/>
    </row>
    <row r="164" spans="2:15" x14ac:dyDescent="0.3">
      <c r="B164" s="1" t="s">
        <v>23</v>
      </c>
      <c r="C164" s="19" t="str">
        <f ca="1">VLOOKUP('บันทึกของเข้า-ออก'!B164,สรุป!C:E,3,0)</f>
        <v>ตัว</v>
      </c>
      <c r="D164" s="23">
        <v>46220</v>
      </c>
      <c r="E164" s="2">
        <v>300</v>
      </c>
      <c r="F164" s="2" t="s">
        <v>3</v>
      </c>
      <c r="G164" s="2" t="s">
        <v>333</v>
      </c>
      <c r="H164" s="19" t="s">
        <v>358</v>
      </c>
      <c r="I164" s="50">
        <v>46220</v>
      </c>
      <c r="J164" s="2">
        <v>300</v>
      </c>
      <c r="K164" s="2" t="s">
        <v>3</v>
      </c>
      <c r="L164" s="2" t="s">
        <v>333</v>
      </c>
      <c r="M164" s="2" t="s">
        <v>358</v>
      </c>
      <c r="N164" s="92" t="s">
        <v>76</v>
      </c>
      <c r="O164" s="91"/>
    </row>
    <row r="165" spans="2:15" x14ac:dyDescent="0.3">
      <c r="B165" s="1" t="s">
        <v>257</v>
      </c>
      <c r="C165" s="19" t="str">
        <f ca="1">VLOOKUP('บันทึกของเข้า-ออก'!B165,สรุป!C:E,3,0)</f>
        <v>ตัว</v>
      </c>
      <c r="D165" s="23">
        <v>46221</v>
      </c>
      <c r="E165" s="2">
        <v>1</v>
      </c>
      <c r="F165" s="2" t="s">
        <v>5</v>
      </c>
      <c r="G165" s="2" t="s">
        <v>136</v>
      </c>
      <c r="H165" s="19" t="s">
        <v>354</v>
      </c>
      <c r="I165" s="50">
        <v>46221</v>
      </c>
      <c r="J165" s="2">
        <v>1</v>
      </c>
      <c r="K165" s="2" t="s">
        <v>5</v>
      </c>
      <c r="L165" s="2" t="s">
        <v>136</v>
      </c>
      <c r="M165" s="2" t="s">
        <v>358</v>
      </c>
      <c r="N165" s="22" t="s">
        <v>76</v>
      </c>
      <c r="O165" s="1"/>
    </row>
    <row r="166" spans="2:15" x14ac:dyDescent="0.3">
      <c r="B166" s="1" t="s">
        <v>316</v>
      </c>
      <c r="C166" s="19" t="str">
        <f ca="1">VLOOKUP('บันทึกของเข้า-ออก'!B166,สรุป!C:E,3,0)</f>
        <v>เครื่อง</v>
      </c>
      <c r="D166" s="23">
        <v>46221</v>
      </c>
      <c r="E166" s="2">
        <v>1</v>
      </c>
      <c r="F166" s="2" t="s">
        <v>5</v>
      </c>
      <c r="G166" s="2" t="s">
        <v>136</v>
      </c>
      <c r="H166" s="19" t="s">
        <v>354</v>
      </c>
      <c r="I166" s="50">
        <v>46221</v>
      </c>
      <c r="J166" s="2">
        <v>1</v>
      </c>
      <c r="K166" s="2" t="s">
        <v>5</v>
      </c>
      <c r="L166" s="2" t="s">
        <v>136</v>
      </c>
      <c r="M166" s="2" t="s">
        <v>358</v>
      </c>
      <c r="N166" s="22" t="s">
        <v>76</v>
      </c>
      <c r="O166" s="1"/>
    </row>
    <row r="167" spans="2:15" x14ac:dyDescent="0.3">
      <c r="B167" s="1" t="s">
        <v>187</v>
      </c>
      <c r="C167" s="19" t="str">
        <f ca="1">VLOOKUP('บันทึกของเข้า-ออก'!B167,สรุป!C:E,3,0)</f>
        <v>คู่</v>
      </c>
      <c r="D167" s="23">
        <v>46222</v>
      </c>
      <c r="E167" s="2">
        <v>4</v>
      </c>
      <c r="F167" s="2" t="s">
        <v>5</v>
      </c>
      <c r="G167" s="2" t="s">
        <v>105</v>
      </c>
      <c r="H167" s="19" t="s">
        <v>354</v>
      </c>
      <c r="I167" s="23">
        <v>46222</v>
      </c>
      <c r="J167" s="2">
        <v>4</v>
      </c>
      <c r="K167" s="2" t="s">
        <v>5</v>
      </c>
      <c r="L167" s="2" t="s">
        <v>105</v>
      </c>
      <c r="M167" s="2" t="s">
        <v>358</v>
      </c>
      <c r="N167" s="22" t="s">
        <v>76</v>
      </c>
      <c r="O167" s="1"/>
    </row>
    <row r="168" spans="2:15" x14ac:dyDescent="0.3">
      <c r="B168" s="1" t="s">
        <v>19</v>
      </c>
      <c r="C168" s="19" t="str">
        <f ca="1">VLOOKUP('บันทึกของเข้า-ออก'!B168,สรุป!C:E,3,0)</f>
        <v>ขา</v>
      </c>
      <c r="D168" s="23">
        <v>46222</v>
      </c>
      <c r="E168" s="2">
        <v>4</v>
      </c>
      <c r="F168" s="2" t="s">
        <v>5</v>
      </c>
      <c r="G168" s="2" t="s">
        <v>105</v>
      </c>
      <c r="H168" s="19" t="s">
        <v>354</v>
      </c>
      <c r="I168" s="23">
        <v>46222</v>
      </c>
      <c r="J168" s="2">
        <v>4</v>
      </c>
      <c r="K168" s="2" t="s">
        <v>5</v>
      </c>
      <c r="L168" s="2" t="s">
        <v>105</v>
      </c>
      <c r="M168" s="2" t="s">
        <v>358</v>
      </c>
      <c r="N168" s="22" t="s">
        <v>76</v>
      </c>
      <c r="O168" s="1"/>
    </row>
    <row r="169" spans="2:15" x14ac:dyDescent="0.3">
      <c r="B169" s="1" t="s">
        <v>18</v>
      </c>
      <c r="C169" s="19" t="str">
        <f ca="1">VLOOKUP('บันทึกของเข้า-ออก'!B169,สรุป!C:E,3,0)</f>
        <v>ขา</v>
      </c>
      <c r="D169" s="23">
        <v>46222</v>
      </c>
      <c r="E169" s="2">
        <v>59</v>
      </c>
      <c r="F169" s="2" t="s">
        <v>5</v>
      </c>
      <c r="G169" s="2" t="s">
        <v>105</v>
      </c>
      <c r="H169" s="19" t="s">
        <v>354</v>
      </c>
      <c r="I169" s="23">
        <v>46222</v>
      </c>
      <c r="J169" s="2">
        <v>59</v>
      </c>
      <c r="K169" s="2" t="s">
        <v>5</v>
      </c>
      <c r="L169" s="2" t="s">
        <v>105</v>
      </c>
      <c r="M169" s="2" t="s">
        <v>358</v>
      </c>
      <c r="N169" s="22" t="s">
        <v>76</v>
      </c>
      <c r="O169" s="1" t="e">
        <f>-B167</f>
        <v>#VALUE!</v>
      </c>
    </row>
    <row r="170" spans="2:15" x14ac:dyDescent="0.3">
      <c r="B170" s="1" t="s">
        <v>21</v>
      </c>
      <c r="C170" s="19" t="str">
        <f ca="1">VLOOKUP('บันทึกของเข้า-ออก'!B170,สรุป!C:E,3,0)</f>
        <v>ตัว</v>
      </c>
      <c r="D170" s="23">
        <v>46222</v>
      </c>
      <c r="E170" s="2">
        <v>21</v>
      </c>
      <c r="F170" s="2" t="s">
        <v>5</v>
      </c>
      <c r="G170" s="2" t="s">
        <v>105</v>
      </c>
      <c r="H170" s="19" t="s">
        <v>354</v>
      </c>
      <c r="I170" s="23">
        <v>46222</v>
      </c>
      <c r="J170" s="2">
        <v>21</v>
      </c>
      <c r="K170" s="2" t="s">
        <v>5</v>
      </c>
      <c r="L170" s="2" t="s">
        <v>105</v>
      </c>
      <c r="M170" s="2" t="s">
        <v>358</v>
      </c>
      <c r="N170" s="22" t="s">
        <v>76</v>
      </c>
      <c r="O170" s="1"/>
    </row>
    <row r="171" spans="2:15" x14ac:dyDescent="0.3">
      <c r="B171" s="1" t="s">
        <v>22</v>
      </c>
      <c r="C171" s="19" t="str">
        <f ca="1">VLOOKUP('บันทึกของเข้า-ออก'!B171,สรุป!C:E,3,0)</f>
        <v>ตัว</v>
      </c>
      <c r="D171" s="23">
        <v>46222</v>
      </c>
      <c r="E171" s="2">
        <v>6</v>
      </c>
      <c r="F171" s="2" t="s">
        <v>5</v>
      </c>
      <c r="G171" s="2" t="s">
        <v>105</v>
      </c>
      <c r="H171" s="19" t="s">
        <v>354</v>
      </c>
      <c r="I171" s="23">
        <v>46222</v>
      </c>
      <c r="J171" s="2">
        <v>6</v>
      </c>
      <c r="K171" s="2" t="s">
        <v>5</v>
      </c>
      <c r="L171" s="2" t="s">
        <v>105</v>
      </c>
      <c r="M171" s="2" t="s">
        <v>358</v>
      </c>
      <c r="N171" s="22" t="s">
        <v>76</v>
      </c>
      <c r="O171" s="1"/>
    </row>
    <row r="172" spans="2:15" x14ac:dyDescent="0.3">
      <c r="B172" s="1" t="s">
        <v>186</v>
      </c>
      <c r="C172" s="19" t="str">
        <f ca="1">VLOOKUP('บันทึกของเข้า-ออก'!B172,สรุป!C:E,3,0)</f>
        <v>คู่</v>
      </c>
      <c r="D172" s="23">
        <v>46222</v>
      </c>
      <c r="E172" s="2">
        <v>20</v>
      </c>
      <c r="F172" s="2" t="s">
        <v>5</v>
      </c>
      <c r="G172" s="2" t="s">
        <v>105</v>
      </c>
      <c r="H172" s="19" t="s">
        <v>354</v>
      </c>
      <c r="I172" s="23">
        <v>46222</v>
      </c>
      <c r="J172" s="2">
        <v>20</v>
      </c>
      <c r="K172" s="2" t="s">
        <v>5</v>
      </c>
      <c r="L172" s="2" t="s">
        <v>105</v>
      </c>
      <c r="M172" s="2" t="s">
        <v>358</v>
      </c>
      <c r="N172" s="22" t="s">
        <v>76</v>
      </c>
      <c r="O172" s="1"/>
    </row>
    <row r="173" spans="2:15" x14ac:dyDescent="0.3">
      <c r="B173" s="1" t="s">
        <v>30</v>
      </c>
      <c r="C173" s="19" t="str">
        <f ca="1">VLOOKUP('บันทึกของเข้า-ออก'!B173,สรุป!C:E,3,0)</f>
        <v>เส้น</v>
      </c>
      <c r="D173" s="23">
        <v>46222</v>
      </c>
      <c r="E173" s="2">
        <v>50</v>
      </c>
      <c r="F173" s="2" t="s">
        <v>5</v>
      </c>
      <c r="G173" s="2" t="s">
        <v>105</v>
      </c>
      <c r="H173" s="19" t="s">
        <v>354</v>
      </c>
      <c r="I173" s="23">
        <v>46222</v>
      </c>
      <c r="J173" s="2">
        <v>50</v>
      </c>
      <c r="K173" s="2" t="s">
        <v>5</v>
      </c>
      <c r="L173" s="2" t="s">
        <v>105</v>
      </c>
      <c r="M173" s="2" t="s">
        <v>358</v>
      </c>
      <c r="N173" s="22" t="s">
        <v>76</v>
      </c>
      <c r="O173" s="1"/>
    </row>
    <row r="174" spans="2:15" x14ac:dyDescent="0.3">
      <c r="B174" s="1" t="s">
        <v>270</v>
      </c>
      <c r="C174" s="19" t="str">
        <f ca="1">VLOOKUP('บันทึกของเข้า-ออก'!B174,สรุป!C:E,3,0)</f>
        <v>ตัว</v>
      </c>
      <c r="D174" s="23">
        <v>46222</v>
      </c>
      <c r="E174" s="2"/>
      <c r="F174" s="2"/>
      <c r="G174" s="2"/>
      <c r="H174" s="19"/>
      <c r="I174" s="23">
        <v>46222</v>
      </c>
      <c r="J174" s="2">
        <v>1</v>
      </c>
      <c r="K174" s="2" t="s">
        <v>175</v>
      </c>
      <c r="L174" s="2" t="s">
        <v>136</v>
      </c>
      <c r="M174" s="2" t="s">
        <v>358</v>
      </c>
      <c r="N174" s="22" t="s">
        <v>76</v>
      </c>
      <c r="O174" s="2" t="s">
        <v>405</v>
      </c>
    </row>
    <row r="175" spans="2:15" x14ac:dyDescent="0.3">
      <c r="B175" s="1" t="s">
        <v>110</v>
      </c>
      <c r="C175" s="19" t="str">
        <f ca="1">VLOOKUP('บันทึกของเข้า-ออก'!B175,สรุป!C:E,3,0)</f>
        <v>ตัว</v>
      </c>
      <c r="D175" s="23">
        <v>46222</v>
      </c>
      <c r="E175" s="2"/>
      <c r="F175" s="2"/>
      <c r="G175" s="2"/>
      <c r="H175" s="19"/>
      <c r="I175" s="23">
        <v>46222</v>
      </c>
      <c r="J175" s="2">
        <v>2</v>
      </c>
      <c r="K175" s="2" t="s">
        <v>175</v>
      </c>
      <c r="L175" s="2" t="s">
        <v>136</v>
      </c>
      <c r="M175" s="2" t="s">
        <v>358</v>
      </c>
      <c r="N175" s="22" t="s">
        <v>76</v>
      </c>
      <c r="O175" s="2" t="s">
        <v>405</v>
      </c>
    </row>
    <row r="176" spans="2:15" x14ac:dyDescent="0.3">
      <c r="B176" s="1" t="s">
        <v>45</v>
      </c>
      <c r="C176" s="19" t="str">
        <f ca="1">VLOOKUP('บันทึกของเข้า-ออก'!B176,สรุป!C:E,3,0)</f>
        <v>ตัว</v>
      </c>
      <c r="D176" s="23">
        <v>46222</v>
      </c>
      <c r="E176" s="2"/>
      <c r="F176" s="2"/>
      <c r="G176" s="2"/>
      <c r="H176" s="19"/>
      <c r="I176" s="23">
        <v>46222</v>
      </c>
      <c r="J176" s="2">
        <v>2</v>
      </c>
      <c r="K176" s="2" t="s">
        <v>175</v>
      </c>
      <c r="L176" s="2" t="s">
        <v>136</v>
      </c>
      <c r="M176" s="2" t="s">
        <v>358</v>
      </c>
      <c r="N176" s="22" t="s">
        <v>76</v>
      </c>
      <c r="O176" s="2" t="s">
        <v>405</v>
      </c>
    </row>
    <row r="177" spans="2:15" x14ac:dyDescent="0.3">
      <c r="B177" s="1" t="s">
        <v>18</v>
      </c>
      <c r="C177" s="19" t="str">
        <f ca="1">VLOOKUP('บันทึกของเข้า-ออก'!B177,สรุป!C:E,3,0)</f>
        <v>ขา</v>
      </c>
      <c r="D177" s="50">
        <v>46223</v>
      </c>
      <c r="E177" s="2">
        <v>8</v>
      </c>
      <c r="F177" s="2" t="s">
        <v>105</v>
      </c>
      <c r="G177" s="2" t="s">
        <v>329</v>
      </c>
      <c r="H177" s="19" t="s">
        <v>390</v>
      </c>
      <c r="I177" s="50">
        <v>46223</v>
      </c>
      <c r="J177" s="2">
        <v>8</v>
      </c>
      <c r="K177" s="2" t="s">
        <v>105</v>
      </c>
      <c r="L177" s="2" t="s">
        <v>329</v>
      </c>
      <c r="M177" s="2" t="s">
        <v>358</v>
      </c>
      <c r="N177" s="22" t="s">
        <v>76</v>
      </c>
      <c r="O177" s="1"/>
    </row>
    <row r="178" spans="2:15" x14ac:dyDescent="0.3">
      <c r="B178" s="1" t="s">
        <v>21</v>
      </c>
      <c r="C178" s="19" t="str">
        <f ca="1">VLOOKUP('บันทึกของเข้า-ออก'!B178,สรุป!C:E,3,0)</f>
        <v>ตัว</v>
      </c>
      <c r="D178" s="50">
        <v>46223</v>
      </c>
      <c r="E178" s="2">
        <v>20</v>
      </c>
      <c r="F178" s="2" t="s">
        <v>105</v>
      </c>
      <c r="G178" s="2" t="s">
        <v>329</v>
      </c>
      <c r="H178" s="19" t="s">
        <v>390</v>
      </c>
      <c r="I178" s="50">
        <v>46223</v>
      </c>
      <c r="J178" s="2">
        <v>20</v>
      </c>
      <c r="K178" s="2" t="s">
        <v>105</v>
      </c>
      <c r="L178" s="2" t="s">
        <v>329</v>
      </c>
      <c r="M178" s="2" t="s">
        <v>358</v>
      </c>
      <c r="N178" s="22" t="s">
        <v>76</v>
      </c>
      <c r="O178" s="1"/>
    </row>
    <row r="179" spans="2:15" x14ac:dyDescent="0.3">
      <c r="B179" s="1" t="s">
        <v>186</v>
      </c>
      <c r="C179" s="19" t="str">
        <f ca="1">VLOOKUP('บันทึกของเข้า-ออก'!B179,สรุป!C:E,3,0)</f>
        <v>คู่</v>
      </c>
      <c r="D179" s="50">
        <v>46223</v>
      </c>
      <c r="E179" s="2">
        <v>8</v>
      </c>
      <c r="F179" s="2" t="s">
        <v>105</v>
      </c>
      <c r="G179" s="2" t="s">
        <v>329</v>
      </c>
      <c r="H179" s="19" t="s">
        <v>390</v>
      </c>
      <c r="I179" s="50">
        <v>46223</v>
      </c>
      <c r="J179" s="2">
        <v>8</v>
      </c>
      <c r="K179" s="2" t="s">
        <v>105</v>
      </c>
      <c r="L179" s="2" t="s">
        <v>329</v>
      </c>
      <c r="M179" s="2" t="s">
        <v>358</v>
      </c>
      <c r="N179" s="22" t="s">
        <v>76</v>
      </c>
      <c r="O179" s="1"/>
    </row>
    <row r="180" spans="2:15" x14ac:dyDescent="0.3">
      <c r="B180" s="1" t="s">
        <v>24</v>
      </c>
      <c r="C180" s="19" t="str">
        <f ca="1">VLOOKUP('บันทึกของเข้า-ออก'!B180,สรุป!C:E,3,0)</f>
        <v>อัน</v>
      </c>
      <c r="D180" s="50">
        <v>46223</v>
      </c>
      <c r="E180" s="2">
        <v>4</v>
      </c>
      <c r="F180" s="2" t="s">
        <v>105</v>
      </c>
      <c r="G180" s="2" t="s">
        <v>329</v>
      </c>
      <c r="H180" s="19" t="s">
        <v>390</v>
      </c>
      <c r="I180" s="50">
        <v>46223</v>
      </c>
      <c r="J180" s="2">
        <v>4</v>
      </c>
      <c r="K180" s="2" t="s">
        <v>105</v>
      </c>
      <c r="L180" s="2" t="s">
        <v>329</v>
      </c>
      <c r="M180" s="2" t="s">
        <v>358</v>
      </c>
      <c r="N180" s="22" t="s">
        <v>76</v>
      </c>
      <c r="O180" s="1"/>
    </row>
    <row r="181" spans="2:15" x14ac:dyDescent="0.3">
      <c r="B181" s="1" t="s">
        <v>52</v>
      </c>
      <c r="C181" s="19" t="str">
        <f ca="1">VLOOKUP('บันทึกของเข้า-ออก'!B181,สรุป!C:E,3,0)</f>
        <v>ตัว</v>
      </c>
      <c r="D181" s="23">
        <v>46224</v>
      </c>
      <c r="E181" s="2">
        <v>1</v>
      </c>
      <c r="F181" s="2" t="s">
        <v>136</v>
      </c>
      <c r="G181" s="2" t="s">
        <v>333</v>
      </c>
      <c r="H181" s="19" t="s">
        <v>353</v>
      </c>
      <c r="I181" s="50">
        <v>46224</v>
      </c>
      <c r="J181" s="2">
        <v>1</v>
      </c>
      <c r="K181" s="2" t="s">
        <v>136</v>
      </c>
      <c r="L181" s="2" t="s">
        <v>333</v>
      </c>
      <c r="M181" s="2" t="s">
        <v>358</v>
      </c>
      <c r="N181" s="22" t="s">
        <v>76</v>
      </c>
      <c r="O181" s="1"/>
    </row>
    <row r="182" spans="2:15" x14ac:dyDescent="0.3">
      <c r="B182" s="1" t="s">
        <v>53</v>
      </c>
      <c r="C182" s="19" t="str">
        <f ca="1">VLOOKUP('บันทึกของเข้า-ออก'!B182,สรุป!C:E,3,0)</f>
        <v>อัน</v>
      </c>
      <c r="D182" s="23">
        <v>46224</v>
      </c>
      <c r="E182" s="2">
        <v>1</v>
      </c>
      <c r="F182" s="2" t="s">
        <v>136</v>
      </c>
      <c r="G182" s="2" t="s">
        <v>333</v>
      </c>
      <c r="H182" s="19" t="s">
        <v>353</v>
      </c>
      <c r="I182" s="50">
        <v>46224</v>
      </c>
      <c r="J182" s="2">
        <v>1</v>
      </c>
      <c r="K182" s="2" t="s">
        <v>136</v>
      </c>
      <c r="L182" s="2" t="s">
        <v>333</v>
      </c>
      <c r="M182" s="2" t="s">
        <v>358</v>
      </c>
      <c r="N182" s="22" t="s">
        <v>76</v>
      </c>
      <c r="O182" s="1"/>
    </row>
    <row r="183" spans="2:15" x14ac:dyDescent="0.3">
      <c r="B183" s="1" t="s">
        <v>18</v>
      </c>
      <c r="C183" s="19" t="str">
        <f ca="1">VLOOKUP('บันทึกของเข้า-ออก'!B183,สรุป!C:E,3,0)</f>
        <v>ขา</v>
      </c>
      <c r="D183" s="23">
        <v>46224</v>
      </c>
      <c r="E183" s="2">
        <v>44</v>
      </c>
      <c r="F183" s="2" t="s">
        <v>105</v>
      </c>
      <c r="G183" s="2" t="s">
        <v>329</v>
      </c>
      <c r="H183" s="19" t="s">
        <v>407</v>
      </c>
      <c r="I183" s="23">
        <v>46224</v>
      </c>
      <c r="J183" s="2">
        <v>44</v>
      </c>
      <c r="K183" s="2" t="s">
        <v>105</v>
      </c>
      <c r="L183" s="2" t="s">
        <v>329</v>
      </c>
      <c r="M183" s="2" t="s">
        <v>358</v>
      </c>
      <c r="N183" s="22" t="s">
        <v>76</v>
      </c>
      <c r="O183" s="1"/>
    </row>
    <row r="184" spans="2:15" x14ac:dyDescent="0.3">
      <c r="B184" s="1" t="s">
        <v>186</v>
      </c>
      <c r="C184" s="19" t="str">
        <f ca="1">VLOOKUP('บันทึกของเข้า-ออก'!B184,สรุป!C:E,3,0)</f>
        <v>คู่</v>
      </c>
      <c r="D184" s="23">
        <v>46224</v>
      </c>
      <c r="E184" s="2">
        <v>34</v>
      </c>
      <c r="F184" s="2" t="s">
        <v>105</v>
      </c>
      <c r="G184" s="2" t="s">
        <v>329</v>
      </c>
      <c r="H184" s="19" t="s">
        <v>407</v>
      </c>
      <c r="I184" s="23">
        <v>46224</v>
      </c>
      <c r="J184" s="2">
        <v>34</v>
      </c>
      <c r="K184" s="2" t="s">
        <v>105</v>
      </c>
      <c r="L184" s="2" t="s">
        <v>329</v>
      </c>
      <c r="M184" s="2" t="s">
        <v>358</v>
      </c>
      <c r="N184" s="22" t="s">
        <v>76</v>
      </c>
      <c r="O184" s="1"/>
    </row>
    <row r="185" spans="2:15" x14ac:dyDescent="0.3">
      <c r="B185" s="1" t="s">
        <v>21</v>
      </c>
      <c r="C185" s="19" t="str">
        <f ca="1">VLOOKUP('บันทึกของเข้า-ออก'!B185,สรุป!C:E,3,0)</f>
        <v>ตัว</v>
      </c>
      <c r="D185" s="23">
        <v>46224</v>
      </c>
      <c r="E185" s="2">
        <v>30</v>
      </c>
      <c r="F185" s="2" t="s">
        <v>105</v>
      </c>
      <c r="G185" s="2" t="s">
        <v>329</v>
      </c>
      <c r="H185" s="19" t="s">
        <v>407</v>
      </c>
      <c r="I185" s="23">
        <v>46224</v>
      </c>
      <c r="J185" s="2">
        <v>30</v>
      </c>
      <c r="K185" s="2" t="s">
        <v>105</v>
      </c>
      <c r="L185" s="2" t="s">
        <v>329</v>
      </c>
      <c r="M185" s="2" t="s">
        <v>358</v>
      </c>
      <c r="N185" s="22" t="s">
        <v>76</v>
      </c>
      <c r="O185" s="1"/>
    </row>
    <row r="186" spans="2:15" x14ac:dyDescent="0.3">
      <c r="B186" s="1" t="s">
        <v>30</v>
      </c>
      <c r="C186" s="19" t="str">
        <f ca="1">VLOOKUP('บันทึกของเข้า-ออก'!B186,สรุป!C:E,3,0)</f>
        <v>เส้น</v>
      </c>
      <c r="D186" s="23">
        <v>46224</v>
      </c>
      <c r="E186" s="2">
        <v>10</v>
      </c>
      <c r="F186" s="2" t="s">
        <v>105</v>
      </c>
      <c r="G186" s="2" t="s">
        <v>329</v>
      </c>
      <c r="H186" s="19" t="s">
        <v>407</v>
      </c>
      <c r="I186" s="23">
        <v>46224</v>
      </c>
      <c r="J186" s="2">
        <v>10</v>
      </c>
      <c r="K186" s="2" t="s">
        <v>105</v>
      </c>
      <c r="L186" s="2" t="s">
        <v>329</v>
      </c>
      <c r="M186" s="2" t="s">
        <v>358</v>
      </c>
      <c r="N186" s="22" t="s">
        <v>76</v>
      </c>
      <c r="O186" s="1"/>
    </row>
    <row r="187" spans="2:15" x14ac:dyDescent="0.3">
      <c r="B187" s="1" t="s">
        <v>21</v>
      </c>
      <c r="C187" s="19" t="str">
        <f ca="1">VLOOKUP('บันทึกของเข้า-ออก'!B187,สรุป!C:E,3,0)</f>
        <v>ตัว</v>
      </c>
      <c r="D187" s="23">
        <v>46225</v>
      </c>
      <c r="E187" s="2">
        <v>20</v>
      </c>
      <c r="F187" s="2" t="s">
        <v>105</v>
      </c>
      <c r="G187" s="2" t="s">
        <v>329</v>
      </c>
      <c r="H187" s="19" t="s">
        <v>390</v>
      </c>
      <c r="I187" s="50">
        <v>46225</v>
      </c>
      <c r="J187" s="2">
        <v>20</v>
      </c>
      <c r="K187" s="2" t="s">
        <v>105</v>
      </c>
      <c r="L187" s="2" t="s">
        <v>329</v>
      </c>
      <c r="M187" s="2" t="s">
        <v>358</v>
      </c>
      <c r="N187" s="22" t="s">
        <v>76</v>
      </c>
      <c r="O187" s="1"/>
    </row>
    <row r="188" spans="2:15" x14ac:dyDescent="0.3">
      <c r="B188" s="1" t="s">
        <v>20</v>
      </c>
      <c r="C188" s="19" t="str">
        <f ca="1">VLOOKUP('บันทึกของเข้า-ออก'!B188,สรุป!C:E,3,0)</f>
        <v>ตัว</v>
      </c>
      <c r="D188" s="23">
        <v>46225</v>
      </c>
      <c r="E188" s="2">
        <v>30</v>
      </c>
      <c r="F188" s="2" t="s">
        <v>105</v>
      </c>
      <c r="G188" s="2" t="s">
        <v>329</v>
      </c>
      <c r="H188" s="19" t="s">
        <v>390</v>
      </c>
      <c r="I188" s="50">
        <v>46225</v>
      </c>
      <c r="J188" s="2">
        <v>30</v>
      </c>
      <c r="K188" s="2" t="s">
        <v>105</v>
      </c>
      <c r="L188" s="2" t="s">
        <v>329</v>
      </c>
      <c r="M188" s="2" t="s">
        <v>358</v>
      </c>
      <c r="N188" s="22" t="s">
        <v>76</v>
      </c>
      <c r="O188" s="1"/>
    </row>
    <row r="189" spans="2:15" x14ac:dyDescent="0.3">
      <c r="B189" s="1" t="s">
        <v>31</v>
      </c>
      <c r="C189" s="19" t="str">
        <f ca="1">VLOOKUP('บันทึกของเข้า-ออก'!B189,สรุป!C:E,3,0)</f>
        <v>เส้น</v>
      </c>
      <c r="D189" s="23" t="s">
        <v>417</v>
      </c>
      <c r="E189" s="2">
        <v>20</v>
      </c>
      <c r="F189" s="2" t="s">
        <v>105</v>
      </c>
      <c r="G189" s="2" t="s">
        <v>329</v>
      </c>
      <c r="H189" s="19" t="s">
        <v>390</v>
      </c>
      <c r="I189" s="50">
        <v>46225</v>
      </c>
      <c r="J189" s="2">
        <v>20</v>
      </c>
      <c r="K189" s="2" t="s">
        <v>105</v>
      </c>
      <c r="L189" s="2" t="s">
        <v>329</v>
      </c>
      <c r="M189" s="2" t="s">
        <v>358</v>
      </c>
      <c r="N189" s="22" t="s">
        <v>76</v>
      </c>
      <c r="O189" s="1"/>
    </row>
    <row r="190" spans="2:15" x14ac:dyDescent="0.3">
      <c r="B190" s="1"/>
      <c r="C190" s="19" t="e">
        <f ca="1">VLOOKUP('บันทึกของเข้า-ออก'!B190,สรุป!C:E,3,0)</f>
        <v>#N/A</v>
      </c>
      <c r="D190" s="23"/>
      <c r="E190" s="2"/>
      <c r="F190" s="2"/>
      <c r="G190" s="2"/>
      <c r="H190" s="19"/>
      <c r="I190" s="50"/>
      <c r="J190" s="2"/>
      <c r="K190" s="2"/>
      <c r="L190" s="2"/>
      <c r="M190" s="2"/>
      <c r="N190" s="22"/>
      <c r="O190" s="1"/>
    </row>
    <row r="191" spans="2:15" x14ac:dyDescent="0.3">
      <c r="B191" s="1"/>
      <c r="C191" s="19" t="e">
        <f ca="1">VLOOKUP('บันทึกของเข้า-ออก'!B191,สรุป!C:E,3,0)</f>
        <v>#N/A</v>
      </c>
      <c r="D191" s="23"/>
      <c r="E191" s="2"/>
      <c r="F191" s="2"/>
      <c r="G191" s="2"/>
      <c r="H191" s="19"/>
      <c r="I191" s="50"/>
      <c r="J191" s="2"/>
      <c r="K191" s="2"/>
      <c r="L191" s="2"/>
      <c r="M191" s="2"/>
      <c r="N191" s="22"/>
      <c r="O191" s="1"/>
    </row>
    <row r="192" spans="2:15" x14ac:dyDescent="0.3">
      <c r="B192" s="1"/>
      <c r="C192" s="19" t="e">
        <f ca="1">VLOOKUP('บันทึกของเข้า-ออก'!B192,สรุป!C:E,3,0)</f>
        <v>#N/A</v>
      </c>
      <c r="D192" s="23"/>
      <c r="E192" s="2"/>
      <c r="F192" s="2"/>
      <c r="G192" s="2"/>
      <c r="H192" s="19"/>
      <c r="I192" s="50"/>
      <c r="J192" s="2"/>
      <c r="K192" s="2"/>
      <c r="L192" s="2"/>
      <c r="M192" s="2"/>
      <c r="N192" s="22"/>
      <c r="O192" s="1"/>
    </row>
    <row r="193" spans="2:15" x14ac:dyDescent="0.3">
      <c r="B193" s="1"/>
      <c r="C193" s="19" t="e">
        <f ca="1">VLOOKUP('บันทึกของเข้า-ออก'!B193,สรุป!C:E,3,0)</f>
        <v>#N/A</v>
      </c>
      <c r="D193" s="23"/>
      <c r="E193" s="2"/>
      <c r="F193" s="2"/>
      <c r="G193" s="2"/>
      <c r="H193" s="19"/>
      <c r="I193" s="50"/>
      <c r="J193" s="2"/>
      <c r="K193" s="2"/>
      <c r="L193" s="2"/>
      <c r="M193" s="2"/>
      <c r="N193" s="22"/>
      <c r="O193" s="1"/>
    </row>
    <row r="194" spans="2:15" x14ac:dyDescent="0.3">
      <c r="B194" s="1"/>
      <c r="C194" s="19" t="e">
        <f ca="1">VLOOKUP('บันทึกของเข้า-ออก'!B194,สรุป!C:E,3,0)</f>
        <v>#N/A</v>
      </c>
      <c r="D194" s="23"/>
      <c r="E194" s="2"/>
      <c r="F194" s="2"/>
      <c r="G194" s="2"/>
      <c r="H194" s="19"/>
      <c r="I194" s="50"/>
      <c r="J194" s="2"/>
      <c r="K194" s="2"/>
      <c r="L194" s="2"/>
      <c r="M194" s="2"/>
      <c r="N194" s="22"/>
      <c r="O194" s="1"/>
    </row>
    <row r="195" spans="2:15" x14ac:dyDescent="0.3">
      <c r="B195" s="1"/>
      <c r="C195" s="19" t="e">
        <f ca="1">VLOOKUP('บันทึกของเข้า-ออก'!B195,สรุป!C:E,3,0)</f>
        <v>#N/A</v>
      </c>
      <c r="D195" s="23"/>
      <c r="E195" s="2"/>
      <c r="F195" s="2"/>
      <c r="G195" s="2"/>
      <c r="H195" s="19"/>
      <c r="I195" s="50"/>
      <c r="J195" s="2"/>
      <c r="K195" s="2"/>
      <c r="L195" s="2"/>
      <c r="M195" s="2"/>
      <c r="N195" s="22"/>
      <c r="O195" s="1"/>
    </row>
    <row r="196" spans="2:15" x14ac:dyDescent="0.3">
      <c r="B196" s="1"/>
      <c r="C196" s="19" t="e">
        <f ca="1">VLOOKUP('บันทึกของเข้า-ออก'!B196,สรุป!C:E,3,0)</f>
        <v>#N/A</v>
      </c>
      <c r="D196" s="23"/>
      <c r="E196" s="2"/>
      <c r="F196" s="2"/>
      <c r="G196" s="2"/>
      <c r="H196" s="19"/>
      <c r="I196" s="50"/>
      <c r="J196" s="2"/>
      <c r="K196" s="2"/>
      <c r="L196" s="2"/>
      <c r="M196" s="2"/>
      <c r="N196" s="22"/>
      <c r="O196" s="1"/>
    </row>
    <row r="197" spans="2:15" x14ac:dyDescent="0.3">
      <c r="B197" s="1"/>
      <c r="C197" s="19" t="e">
        <f ca="1">VLOOKUP('บันทึกของเข้า-ออก'!B197,สรุป!C:E,3,0)</f>
        <v>#N/A</v>
      </c>
      <c r="D197" s="23"/>
      <c r="E197" s="2"/>
      <c r="F197" s="2"/>
      <c r="G197" s="2"/>
      <c r="H197" s="19"/>
      <c r="I197" s="50"/>
      <c r="J197" s="2"/>
      <c r="K197" s="2"/>
      <c r="L197" s="2"/>
      <c r="M197" s="2"/>
      <c r="N197" s="22"/>
      <c r="O197" s="1"/>
    </row>
    <row r="198" spans="2:15" x14ac:dyDescent="0.3">
      <c r="B198" s="1"/>
      <c r="C198" s="19" t="e">
        <f ca="1">VLOOKUP('บันทึกของเข้า-ออก'!B198,สรุป!C:E,3,0)</f>
        <v>#N/A</v>
      </c>
      <c r="D198" s="23"/>
      <c r="E198" s="2"/>
      <c r="F198" s="2"/>
      <c r="G198" s="2"/>
      <c r="H198" s="19"/>
      <c r="I198" s="50"/>
      <c r="J198" s="2"/>
      <c r="K198" s="2"/>
      <c r="L198" s="2"/>
      <c r="M198" s="2"/>
      <c r="N198" s="22"/>
      <c r="O198" s="1"/>
    </row>
  </sheetData>
  <autoFilter ref="B3:N3" xr:uid="{70FC1211-CEA9-4FFB-8BFE-EC22392EDF04}"/>
  <mergeCells count="2">
    <mergeCell ref="D2:H2"/>
    <mergeCell ref="I2:M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fitToHeight="0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577641B-F2A3-471C-88B1-28272D736081}">
            <xm:f>COUNTIF(สรุป!$R$5,F4)&gt;0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" id="{F7A1AD47-1FFC-4295-AEA1-2CF54BF5A3C8}">
            <xm:f>COUNTIF(สรุป!$F$5:$I$5,F4)&gt;0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3" id="{EFAFCEED-46B0-4213-9EF2-F898000B564D}">
            <xm:f>COUNTIF(สรุป!$J$5:$L$5,F4)&gt;0</xm:f>
            <x14:dxf>
              <fill>
                <patternFill>
                  <bgColor theme="5" tint="0.59996337778862885"/>
                </patternFill>
              </fill>
            </x14:dxf>
          </x14:cfRule>
          <xm:sqref>F4:G198 K4:L198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5E1A3554-81BA-42D8-8B50-2DECF4AD4274}">
          <x14:formula1>
            <xm:f>สรุป!$F$5:$T$5</xm:f>
          </x14:formula1>
          <xm:sqref>F4:G198 K4:L198</xm:sqref>
        </x14:dataValidation>
        <x14:dataValidation type="list" allowBlank="1" showInputMessage="1" showErrorMessage="1" xr:uid="{AA21CF04-800C-428C-B3DE-93E50F9B05BE}">
          <x14:formula1>
            <xm:f>สรุป!$C$6:$C$286</xm:f>
          </x14:formula1>
          <xm:sqref>B4:B198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สรุป</vt:lpstr>
      <vt:lpstr>บันทึกของเข้า-ออก</vt:lpstr>
      <vt:lpstr>'บันทึกของเข้า-ออก'!_FilterDatabase</vt:lpstr>
      <vt:lpstr>'บันทึกของเข้า-ออก'!Print_Area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Komkrit Pattanawongthum</dc:creator>
  <cp:lastModifiedBy>Komkrit Pattanawongthum</cp:lastModifiedBy>
  <cp:lastPrinted>2026-06-12T02:30:10Z</cp:lastPrinted>
  <dcterms:created xsi:type="dcterms:W3CDTF">2025-08-04T09:38:16Z</dcterms:created>
  <dcterms:modified xsi:type="dcterms:W3CDTF">2026-07-23T16:50:39Z</dcterms:modified>
</cp:coreProperties>
</file>